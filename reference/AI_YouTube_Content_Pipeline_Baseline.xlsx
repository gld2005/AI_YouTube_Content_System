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选题池" sheetId="3" state="visible" r:id="rId3"/>
    <sheet xmlns:r="http://schemas.openxmlformats.org/officeDocument/2006/relationships" name="视频项目" sheetId="4" state="visible" r:id="rId4"/>
    <sheet xmlns:r="http://schemas.openxmlformats.org/officeDocument/2006/relationships" name="任务计划" sheetId="5" state="visible" r:id="rId5"/>
    <sheet xmlns:r="http://schemas.openxmlformats.org/officeDocument/2006/relationships" name="研究库" sheetId="6" state="visible" r:id="rId6"/>
    <sheet xmlns:r="http://schemas.openxmlformats.org/officeDocument/2006/relationships" name="素材清单" sheetId="7" state="visible" r:id="rId7"/>
    <sheet xmlns:r="http://schemas.openxmlformats.org/officeDocument/2006/relationships" name="发布复盘" sheetId="8" state="visible" r:id="rId8"/>
    <sheet xmlns:r="http://schemas.openxmlformats.org/officeDocument/2006/relationships" name="设置" sheetId="9" state="visible" r:id="rId9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16">
    <font>
      <name val="Carlito"/>
      <sz val="11"/>
    </font>
    <font>
      <name val="Carlito"/>
      <b val="1"/>
      <color rgb="FFFFFFFF"/>
      <sz val="18"/>
    </font>
    <font>
      <name val="Carlito"/>
      <b val="1"/>
      <color rgb="FF14263D"/>
      <sz val="11"/>
    </font>
    <font>
      <name val="Carlito"/>
      <b val="1"/>
      <color rgb="FFFFFFFF"/>
      <sz val="11"/>
    </font>
    <font>
      <name val="Carlito"/>
      <b val="1"/>
      <color rgb="FF14263D"/>
      <sz val="12"/>
    </font>
    <font>
      <name val="Carlito"/>
      <b val="1"/>
      <color rgb="FF2F6BFF"/>
      <sz val="11"/>
    </font>
    <font>
      <name val="Carlito"/>
      <b val="1"/>
      <color rgb="FF4B5563"/>
      <sz val="11"/>
    </font>
    <font>
      <name val="Carlito"/>
      <b val="1"/>
      <color rgb="FF1F2937"/>
      <sz val="13"/>
    </font>
    <font>
      <name val="Aptos"/>
      <color rgb="001F2937"/>
      <sz val="10"/>
    </font>
    <font>
      <name val="Aptos"/>
      <b val="1"/>
      <color rgb="00FFFFFF"/>
      <sz val="16"/>
    </font>
    <font>
      <name val="Aptos"/>
      <b val="1"/>
      <color rgb="001F2937"/>
      <sz val="12"/>
    </font>
    <font>
      <name val="Aptos"/>
      <b val="1"/>
      <color rgb="001F2937"/>
      <sz val="10"/>
    </font>
    <font>
      <name val="Aptos"/>
      <b val="1"/>
      <color rgb="002563EB"/>
      <sz val="11"/>
    </font>
    <font>
      <name val="Aptos"/>
      <b val="1"/>
      <color rgb="006B7280"/>
      <sz val="9"/>
    </font>
    <font>
      <name val="Aptos"/>
      <b val="1"/>
      <color rgb="001F2937"/>
      <sz val="13"/>
    </font>
    <font>
      <name val="Aptos"/>
      <b val="1"/>
      <color rgb="00FFFFFF"/>
      <sz val="11"/>
    </font>
  </fonts>
  <fills count="25">
    <fill>
      <patternFill/>
    </fill>
    <fill>
      <patternFill patternType="gray125"/>
    </fill>
    <fill>
      <patternFill patternType="solid">
        <fgColor rgb="FF14263D"/>
      </patternFill>
    </fill>
    <fill>
      <patternFill patternType="solid">
        <fgColor rgb="FFEAF0FF"/>
      </patternFill>
    </fill>
    <fill>
      <patternFill patternType="solid">
        <fgColor rgb="FFFFF4D6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00FFFFFF"/>
      </patternFill>
    </fill>
    <fill>
      <patternFill patternType="solid">
        <fgColor rgb="00FCFCFD"/>
      </patternFill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BFDFF"/>
      </patternFill>
    </fill>
    <fill>
      <patternFill patternType="solid">
        <fgColor rgb="00DBEAFE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F5F3FF"/>
      </patternFill>
    </fill>
    <fill>
      <patternFill patternType="solid">
        <fgColor rgb="00FFF1F2"/>
      </patternFill>
    </fill>
    <fill>
      <patternFill patternType="solid">
        <fgColor rgb="00ECFEFF"/>
      </patternFill>
    </fill>
    <fill>
      <patternFill patternType="solid">
        <fgColor rgb="00111827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DCFCE7"/>
      </patternFill>
    </fill>
    <fill>
      <patternFill patternType="solid">
        <fgColor rgb="00F3F4F6"/>
      </patternFill>
    </fill>
  </fills>
  <borders count="32">
    <border/>
    <border/>
    <border>
      <left/>
      <top/>
      <bottom/>
    </border>
    <border>
      <top/>
      <bottom/>
    </border>
    <border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bottom/>
    </border>
    <border>
      <bottom/>
    </border>
    <border>
      <bottom/>
    </border>
    <border>
      <bottom/>
    </border>
    <border>
      <left/>
      <right/>
      <top/>
      <bottom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medium">
        <color rgb="00CBD5E1"/>
      </bottom>
    </border>
    <border>
      <bottom style="thin">
        <color rgb="00E5E7EB"/>
      </bottom>
    </border>
  </borders>
  <cellStyleXfs count="1">
    <xf numFmtId="0" fontId="0" fillId="0" borderId="1"/>
  </cellStyleXfs>
  <cellXfs count="3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4" fillId="3" borderId="0" pivotButton="0" quotePrefix="0" xfId="0"/>
    <xf numFmtId="0" fontId="4" fillId="3" borderId="24" pivotButton="0" quotePrefix="0" xfId="0"/>
    <xf numFmtId="0" fontId="4" fillId="3" borderId="24" applyAlignment="1" pivotButton="0" quotePrefix="0" xfId="0">
      <alignment horizontal="left"/>
    </xf>
    <xf numFmtId="0" fontId="4" fillId="3" borderId="24" applyAlignment="1" pivotButton="0" quotePrefix="0" xfId="0">
      <alignment horizontal="left" vertical="center"/>
    </xf>
    <xf numFmtId="0" fontId="4" fillId="3" borderId="1" pivotButton="0" quotePrefix="0" xfId="0"/>
    <xf numFmtId="0" fontId="4" fillId="3" borderId="25" pivotButton="0" quotePrefix="0" xfId="0"/>
    <xf numFmtId="0" fontId="4" fillId="3" borderId="25" applyAlignment="1" pivotButton="0" quotePrefix="0" xfId="0">
      <alignment horizontal="left"/>
    </xf>
    <xf numFmtId="0" fontId="4" fillId="3" borderId="25" applyAlignment="1" pivotButton="0" quotePrefix="0" xfId="0">
      <alignment horizontal="left" vertical="center"/>
    </xf>
    <xf numFmtId="0" fontId="5" fillId="0" borderId="8" applyAlignment="1" pivotButton="0" quotePrefix="0" xfId="0">
      <alignment vertical="top" wrapText="1"/>
    </xf>
    <xf numFmtId="0" fontId="5" fillId="0" borderId="11" applyAlignment="1" pivotButton="0" quotePrefix="0" xfId="0">
      <alignment vertical="top" wrapText="1"/>
    </xf>
    <xf numFmtId="0" fontId="5" fillId="0" borderId="13" applyAlignment="1" pivotButton="0" quotePrefix="0" xfId="0">
      <alignment vertical="top" wrapText="1"/>
    </xf>
    <xf numFmtId="0" fontId="5" fillId="0" borderId="8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  <xf numFmtId="0" fontId="5" fillId="0" borderId="13" applyAlignment="1" pivotButton="0" quotePrefix="0" xfId="0">
      <alignment horizontal="center" vertical="top" wrapText="1"/>
    </xf>
    <xf numFmtId="0" fontId="5" fillId="0" borderId="16" applyAlignment="1" pivotButton="0" quotePrefix="0" xfId="0">
      <alignment vertical="top" wrapText="1"/>
    </xf>
    <xf numFmtId="0" fontId="5" fillId="0" borderId="19" applyAlignment="1" pivotButton="0" quotePrefix="0" xfId="0">
      <alignment vertical="top" wrapText="1"/>
    </xf>
    <xf numFmtId="0" fontId="5" fillId="0" borderId="21" applyAlignment="1" pivotButton="0" quotePrefix="0" xfId="0">
      <alignment vertical="top" wrapText="1"/>
    </xf>
    <xf numFmtId="0" fontId="5" fillId="0" borderId="16" applyAlignment="1" pivotButton="0" quotePrefix="0" xfId="0">
      <alignment horizontal="center" vertical="top" wrapText="1"/>
    </xf>
    <xf numFmtId="0" fontId="5" fillId="0" borderId="19" applyAlignment="1" pivotButton="0" quotePrefix="0" xfId="0">
      <alignment horizontal="center" vertical="top" wrapText="1"/>
    </xf>
    <xf numFmtId="0" fontId="5" fillId="0" borderId="21" applyAlignment="1" pivotButton="0" quotePrefix="0" xfId="0">
      <alignment horizontal="center" vertical="top" wrapText="1"/>
    </xf>
    <xf numFmtId="0" fontId="2" fillId="0" borderId="0" pivotButton="0" quotePrefix="0" xfId="0"/>
    <xf numFmtId="0" fontId="2" fillId="0" borderId="1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26" pivotButton="0" quotePrefix="0" xfId="0"/>
    <xf numFmtId="0" fontId="0" fillId="4" borderId="1" pivotButton="0" quotePrefix="0" xfId="0"/>
    <xf numFmtId="0" fontId="2" fillId="4" borderId="1" pivotButton="0" quotePrefix="0" xfId="0"/>
    <xf numFmtId="0" fontId="2" fillId="4" borderId="27" pivotButton="0" quotePrefix="0" xfId="0"/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0" fillId="6" borderId="0" pivotButton="0" quotePrefix="0" xfId="0"/>
    <xf numFmtId="0" fontId="7" fillId="6" borderId="0" pivotButton="0" quotePrefix="0" xfId="0"/>
    <xf numFmtId="0" fontId="7" fillId="6" borderId="8" pivotButton="0" quotePrefix="0" xfId="0"/>
    <xf numFmtId="0" fontId="7" fillId="6" borderId="9" pivotButton="0" quotePrefix="0" xfId="0"/>
    <xf numFmtId="0" fontId="7" fillId="6" borderId="10" pivotButton="0" quotePrefix="0" xfId="0"/>
    <xf numFmtId="0" fontId="7" fillId="6" borderId="13" pivotButton="0" quotePrefix="0" xfId="0"/>
    <xf numFmtId="0" fontId="7" fillId="6" borderId="14" pivotButton="0" quotePrefix="0" xfId="0"/>
    <xf numFmtId="0" fontId="7" fillId="6" borderId="15" pivotButton="0" quotePrefix="0" xfId="0"/>
    <xf numFmtId="0" fontId="7" fillId="6" borderId="8" applyAlignment="1" pivotButton="0" quotePrefix="0" xfId="0">
      <alignment wrapText="1"/>
    </xf>
    <xf numFmtId="0" fontId="7" fillId="6" borderId="9" applyAlignment="1" pivotButton="0" quotePrefix="0" xfId="0">
      <alignment wrapText="1"/>
    </xf>
    <xf numFmtId="0" fontId="7" fillId="6" borderId="10" applyAlignment="1" pivotButton="0" quotePrefix="0" xfId="0">
      <alignment wrapText="1"/>
    </xf>
    <xf numFmtId="0" fontId="7" fillId="6" borderId="13" applyAlignment="1" pivotButton="0" quotePrefix="0" xfId="0">
      <alignment wrapText="1"/>
    </xf>
    <xf numFmtId="0" fontId="7" fillId="6" borderId="14" applyAlignment="1" pivotButton="0" quotePrefix="0" xfId="0">
      <alignment wrapText="1"/>
    </xf>
    <xf numFmtId="0" fontId="7" fillId="6" borderId="15" applyAlignment="1" pivotButton="0" quotePrefix="0" xfId="0">
      <alignment wrapText="1"/>
    </xf>
    <xf numFmtId="0" fontId="7" fillId="6" borderId="8" applyAlignment="1" pivotButton="0" quotePrefix="0" xfId="0">
      <alignment horizontal="center" wrapText="1"/>
    </xf>
    <xf numFmtId="0" fontId="7" fillId="6" borderId="9" applyAlignment="1" pivotButton="0" quotePrefix="0" xfId="0">
      <alignment horizontal="center" wrapText="1"/>
    </xf>
    <xf numFmtId="0" fontId="7" fillId="6" borderId="10" applyAlignment="1" pivotButton="0" quotePrefix="0" xfId="0">
      <alignment horizontal="center" wrapText="1"/>
    </xf>
    <xf numFmtId="0" fontId="7" fillId="6" borderId="13" applyAlignment="1" pivotButton="0" quotePrefix="0" xfId="0">
      <alignment horizontal="center" wrapText="1"/>
    </xf>
    <xf numFmtId="0" fontId="7" fillId="6" borderId="14" applyAlignment="1" pivotButton="0" quotePrefix="0" xfId="0">
      <alignment horizontal="center" wrapText="1"/>
    </xf>
    <xf numFmtId="0" fontId="7" fillId="6" borderId="15" applyAlignment="1" pivotButton="0" quotePrefix="0" xfId="0">
      <alignment horizontal="center" wrapText="1"/>
    </xf>
    <xf numFmtId="0" fontId="7" fillId="6" borderId="8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7" fillId="6" borderId="13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6" borderId="1" pivotButton="0" quotePrefix="0" xfId="0"/>
    <xf numFmtId="0" fontId="7" fillId="6" borderId="16" pivotButton="0" quotePrefix="0" xfId="0"/>
    <xf numFmtId="0" fontId="7" fillId="6" borderId="17" pivotButton="0" quotePrefix="0" xfId="0"/>
    <xf numFmtId="0" fontId="7" fillId="6" borderId="18" pivotButton="0" quotePrefix="0" xfId="0"/>
    <xf numFmtId="0" fontId="7" fillId="6" borderId="21" pivotButton="0" quotePrefix="0" xfId="0"/>
    <xf numFmtId="0" fontId="7" fillId="6" borderId="22" pivotButton="0" quotePrefix="0" xfId="0"/>
    <xf numFmtId="0" fontId="7" fillId="6" borderId="23" pivotButton="0" quotePrefix="0" xfId="0"/>
    <xf numFmtId="0" fontId="7" fillId="6" borderId="16" applyAlignment="1" pivotButton="0" quotePrefix="0" xfId="0">
      <alignment wrapText="1"/>
    </xf>
    <xf numFmtId="0" fontId="7" fillId="6" borderId="17" applyAlignment="1" pivotButton="0" quotePrefix="0" xfId="0">
      <alignment wrapText="1"/>
    </xf>
    <xf numFmtId="0" fontId="7" fillId="6" borderId="18" applyAlignment="1" pivotButton="0" quotePrefix="0" xfId="0">
      <alignment wrapText="1"/>
    </xf>
    <xf numFmtId="0" fontId="7" fillId="6" borderId="21" applyAlignment="1" pivotButton="0" quotePrefix="0" xfId="0">
      <alignment wrapText="1"/>
    </xf>
    <xf numFmtId="0" fontId="7" fillId="6" borderId="22" applyAlignment="1" pivotButton="0" quotePrefix="0" xfId="0">
      <alignment wrapText="1"/>
    </xf>
    <xf numFmtId="0" fontId="7" fillId="6" borderId="23" applyAlignment="1" pivotButton="0" quotePrefix="0" xfId="0">
      <alignment wrapText="1"/>
    </xf>
    <xf numFmtId="0" fontId="7" fillId="6" borderId="16" applyAlignment="1" pivotButton="0" quotePrefix="0" xfId="0">
      <alignment horizontal="center" wrapText="1"/>
    </xf>
    <xf numFmtId="0" fontId="7" fillId="6" borderId="17" applyAlignment="1" pivotButton="0" quotePrefix="0" xfId="0">
      <alignment horizontal="center" wrapText="1"/>
    </xf>
    <xf numFmtId="0" fontId="7" fillId="6" borderId="18" applyAlignment="1" pivotButton="0" quotePrefix="0" xfId="0">
      <alignment horizontal="center" wrapText="1"/>
    </xf>
    <xf numFmtId="0" fontId="7" fillId="6" borderId="21" applyAlignment="1" pivotButton="0" quotePrefix="0" xfId="0">
      <alignment horizontal="center" wrapText="1"/>
    </xf>
    <xf numFmtId="0" fontId="7" fillId="6" borderId="22" applyAlignment="1" pivotButton="0" quotePrefix="0" xfId="0">
      <alignment horizontal="center" wrapText="1"/>
    </xf>
    <xf numFmtId="0" fontId="7" fillId="6" borderId="23" applyAlignment="1" pivotButton="0" quotePrefix="0" xfId="0">
      <alignment horizontal="center" wrapText="1"/>
    </xf>
    <xf numFmtId="0" fontId="7" fillId="6" borderId="16" applyAlignment="1" pivotButton="0" quotePrefix="0" xfId="0">
      <alignment horizontal="center" vertical="center" wrapText="1"/>
    </xf>
    <xf numFmtId="0" fontId="7" fillId="6" borderId="17" applyAlignment="1" pivotButton="0" quotePrefix="0" xfId="0">
      <alignment horizontal="center" vertical="center" wrapText="1"/>
    </xf>
    <xf numFmtId="0" fontId="7" fillId="6" borderId="18" applyAlignment="1" pivotButton="0" quotePrefix="0" xfId="0">
      <alignment horizontal="center" vertical="center" wrapText="1"/>
    </xf>
    <xf numFmtId="0" fontId="7" fillId="6" borderId="21" applyAlignment="1" pivotButton="0" quotePrefix="0" xfId="0">
      <alignment horizontal="center" vertical="center" wrapText="1"/>
    </xf>
    <xf numFmtId="0" fontId="7" fillId="6" borderId="22" applyAlignment="1" pivotButton="0" quotePrefix="0" xfId="0">
      <alignment horizontal="center" vertical="center" wrapText="1"/>
    </xf>
    <xf numFmtId="0" fontId="7" fillId="6" borderId="23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64" fontId="7" fillId="6" borderId="10" applyAlignment="1" pivotButton="0" quotePrefix="0" xfId="0">
      <alignment horizontal="center" vertical="center" wrapText="1"/>
    </xf>
    <xf numFmtId="164" fontId="7" fillId="6" borderId="13" applyAlignment="1" pivotButton="0" quotePrefix="0" xfId="0">
      <alignment horizontal="center" vertical="center" wrapText="1"/>
    </xf>
    <xf numFmtId="164" fontId="7" fillId="6" borderId="15" applyAlignment="1" pivotButton="0" quotePrefix="0" xfId="0">
      <alignment horizontal="center" vertical="center" wrapText="1"/>
    </xf>
    <xf numFmtId="164" fontId="7" fillId="6" borderId="16" applyAlignment="1" pivotButton="0" quotePrefix="0" xfId="0">
      <alignment horizontal="center" vertical="center" wrapText="1"/>
    </xf>
    <xf numFmtId="164" fontId="7" fillId="6" borderId="18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164" fontId="7" fillId="6" borderId="23" applyAlignment="1" pivotButton="0" quotePrefix="0" xfId="0">
      <alignment horizontal="center" vertical="center" wrapText="1"/>
    </xf>
    <xf numFmtId="9" fontId="7" fillId="6" borderId="8" applyAlignment="1" pivotButton="0" quotePrefix="0" xfId="0">
      <alignment horizontal="center" vertical="center" wrapText="1"/>
    </xf>
    <xf numFmtId="9" fontId="7" fillId="6" borderId="10" applyAlignment="1" pivotButton="0" quotePrefix="0" xfId="0">
      <alignment horizontal="center" vertical="center" wrapText="1"/>
    </xf>
    <xf numFmtId="9" fontId="7" fillId="6" borderId="13" applyAlignment="1" pivotButton="0" quotePrefix="0" xfId="0">
      <alignment horizontal="center" vertical="center" wrapText="1"/>
    </xf>
    <xf numFmtId="9" fontId="7" fillId="6" borderId="15" applyAlignment="1" pivotButton="0" quotePrefix="0" xfId="0">
      <alignment horizontal="center" vertical="center" wrapText="1"/>
    </xf>
    <xf numFmtId="9" fontId="7" fillId="6" borderId="16" applyAlignment="1" pivotButton="0" quotePrefix="0" xfId="0">
      <alignment horizontal="center" vertical="center" wrapText="1"/>
    </xf>
    <xf numFmtId="9" fontId="7" fillId="6" borderId="18" applyAlignment="1" pivotButton="0" quotePrefix="0" xfId="0">
      <alignment horizontal="center" vertical="center" wrapText="1"/>
    </xf>
    <xf numFmtId="9" fontId="7" fillId="6" borderId="21" applyAlignment="1" pivotButton="0" quotePrefix="0" xfId="0">
      <alignment horizontal="center" vertical="center" wrapText="1"/>
    </xf>
    <xf numFmtId="9" fontId="7" fillId="6" borderId="23" applyAlignment="1" pivotButton="0" quotePrefix="0" xfId="0">
      <alignment horizontal="center" vertical="center" wrapText="1"/>
    </xf>
    <xf numFmtId="9" fontId="0" fillId="0" borderId="9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0" fillId="0" borderId="14" applyAlignment="1" pivotButton="0" quotePrefix="0" xfId="0">
      <alignment vertical="top" wrapText="1"/>
    </xf>
    <xf numFmtId="9" fontId="0" fillId="0" borderId="17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9" fontId="0" fillId="0" borderId="22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164" fontId="0" fillId="0" borderId="12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18" applyAlignment="1" pivotButton="0" quotePrefix="0" xfId="0">
      <alignment vertical="top" wrapText="1"/>
    </xf>
    <xf numFmtId="164" fontId="0" fillId="0" borderId="20" applyAlignment="1" pivotButton="0" quotePrefix="0" xfId="0">
      <alignment vertical="top" wrapText="1"/>
    </xf>
    <xf numFmtId="164" fontId="0" fillId="0" borderId="23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7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22" applyAlignment="1" pivotButton="0" quotePrefix="0" xfId="0">
      <alignment vertical="top" wrapText="1"/>
    </xf>
    <xf numFmtId="0" fontId="0" fillId="5" borderId="8" applyAlignment="1" pivotButton="0" quotePrefix="0" xfId="0">
      <alignment vertical="top" wrapText="1"/>
    </xf>
    <xf numFmtId="0" fontId="0" fillId="5" borderId="11" applyAlignment="1" pivotButton="0" quotePrefix="0" xfId="0">
      <alignment vertical="top" wrapText="1"/>
    </xf>
    <xf numFmtId="0" fontId="0" fillId="5" borderId="13" applyAlignment="1" pivotButton="0" quotePrefix="0" xfId="0">
      <alignment vertical="top" wrapText="1"/>
    </xf>
    <xf numFmtId="0" fontId="6" fillId="5" borderId="8" applyAlignment="1" pivotButton="0" quotePrefix="0" xfId="0">
      <alignment vertical="top" wrapText="1"/>
    </xf>
    <xf numFmtId="0" fontId="6" fillId="5" borderId="11" applyAlignment="1" pivotButton="0" quotePrefix="0" xfId="0">
      <alignment vertical="top" wrapText="1"/>
    </xf>
    <xf numFmtId="0" fontId="6" fillId="5" borderId="13" applyAlignment="1" pivotButton="0" quotePrefix="0" xfId="0">
      <alignment vertical="top" wrapText="1"/>
    </xf>
    <xf numFmtId="0" fontId="6" fillId="5" borderId="8" applyAlignment="1" pivotButton="0" quotePrefix="0" xfId="0">
      <alignment vertical="center" wrapText="1"/>
    </xf>
    <xf numFmtId="0" fontId="6" fillId="5" borderId="11" applyAlignment="1" pivotButton="0" quotePrefix="0" xfId="0">
      <alignment vertical="center" wrapText="1"/>
    </xf>
    <xf numFmtId="0" fontId="6" fillId="5" borderId="13" applyAlignment="1" pivotButton="0" quotePrefix="0" xfId="0">
      <alignment vertical="center" wrapText="1"/>
    </xf>
    <xf numFmtId="0" fontId="0" fillId="5" borderId="16" applyAlignment="1" pivotButton="0" quotePrefix="0" xfId="0">
      <alignment vertical="top" wrapText="1"/>
    </xf>
    <xf numFmtId="0" fontId="0" fillId="5" borderId="19" applyAlignment="1" pivotButton="0" quotePrefix="0" xfId="0">
      <alignment vertical="top" wrapText="1"/>
    </xf>
    <xf numFmtId="0" fontId="0" fillId="5" borderId="21" applyAlignment="1" pivotButton="0" quotePrefix="0" xfId="0">
      <alignment vertical="top" wrapText="1"/>
    </xf>
    <xf numFmtId="0" fontId="6" fillId="5" borderId="16" applyAlignment="1" pivotButton="0" quotePrefix="0" xfId="0">
      <alignment vertical="top" wrapText="1"/>
    </xf>
    <xf numFmtId="0" fontId="6" fillId="5" borderId="19" applyAlignment="1" pivotButton="0" quotePrefix="0" xfId="0">
      <alignment vertical="top" wrapText="1"/>
    </xf>
    <xf numFmtId="0" fontId="6" fillId="5" borderId="21" applyAlignment="1" pivotButton="0" quotePrefix="0" xfId="0">
      <alignment vertical="top" wrapText="1"/>
    </xf>
    <xf numFmtId="0" fontId="6" fillId="5" borderId="16" applyAlignment="1" pivotButton="0" quotePrefix="0" xfId="0">
      <alignment vertical="center" wrapText="1"/>
    </xf>
    <xf numFmtId="0" fontId="6" fillId="5" borderId="19" applyAlignment="1" pivotButton="0" quotePrefix="0" xfId="0">
      <alignment vertical="center" wrapText="1"/>
    </xf>
    <xf numFmtId="0" fontId="6" fillId="5" borderId="21" applyAlignment="1" pivotButton="0" quotePrefix="0" xfId="0">
      <alignment vertical="center" wrapText="1"/>
    </xf>
    <xf numFmtId="1" fontId="0" fillId="0" borderId="9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0" borderId="14" applyAlignment="1" pivotButton="0" quotePrefix="0" xfId="0">
      <alignment vertical="top" wrapText="1"/>
    </xf>
    <xf numFmtId="1" fontId="0" fillId="0" borderId="17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0" fillId="0" borderId="22" applyAlignment="1" pivotButton="0" quotePrefix="0" xfId="0">
      <alignment vertical="top" wrapText="1"/>
    </xf>
    <xf numFmtId="165" fontId="0" fillId="0" borderId="9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14" applyAlignment="1" pivotButton="0" quotePrefix="0" xfId="0">
      <alignment vertical="top" wrapText="1"/>
    </xf>
    <xf numFmtId="165" fontId="0" fillId="0" borderId="17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0" borderId="22" applyAlignment="1" pivotButton="0" quotePrefix="0" xfId="0">
      <alignment vertical="top" wrapText="1"/>
    </xf>
    <xf numFmtId="166" fontId="0" fillId="0" borderId="9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0" borderId="14" applyAlignment="1" pivotButton="0" quotePrefix="0" xfId="0">
      <alignment vertical="top" wrapText="1"/>
    </xf>
    <xf numFmtId="166" fontId="0" fillId="0" borderId="17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6" fontId="0" fillId="0" borderId="22" applyAlignment="1" pivotButton="0" quotePrefix="0" xfId="0">
      <alignment vertical="top" wrapText="1"/>
    </xf>
    <xf numFmtId="0" fontId="9" fillId="9" borderId="1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top" wrapText="1"/>
    </xf>
    <xf numFmtId="0" fontId="10" fillId="10" borderId="29" applyAlignment="1" pivotButton="0" quotePrefix="0" xfId="0">
      <alignment horizontal="left" vertical="center" wrapText="1"/>
    </xf>
    <xf numFmtId="0" fontId="8" fillId="10" borderId="29" applyAlignment="1" pivotButton="0" quotePrefix="0" xfId="0">
      <alignment horizontal="left" vertical="top" wrapText="1"/>
    </xf>
    <xf numFmtId="0" fontId="11" fillId="11" borderId="30" applyAlignment="1" pivotButton="0" quotePrefix="0" xfId="0">
      <alignment horizontal="center" vertical="center" wrapText="1"/>
    </xf>
    <xf numFmtId="0" fontId="8" fillId="12" borderId="31" applyAlignment="1" pivotButton="0" quotePrefix="0" xfId="0">
      <alignment horizontal="left" vertical="top" wrapText="1"/>
    </xf>
    <xf numFmtId="0" fontId="8" fillId="7" borderId="31" applyAlignment="1" pivotButton="0" quotePrefix="0" xfId="0">
      <alignment horizontal="left" vertical="top" wrapText="1"/>
    </xf>
    <xf numFmtId="0" fontId="8" fillId="8" borderId="13" applyAlignment="1" pivotButton="0" quotePrefix="0" xfId="0">
      <alignment horizontal="left" vertical="top" wrapText="1"/>
    </xf>
    <xf numFmtId="0" fontId="8" fillId="8" borderId="14" applyAlignment="1" pivotButton="0" quotePrefix="0" xfId="0">
      <alignment horizontal="left" vertical="top" wrapText="1"/>
    </xf>
    <xf numFmtId="0" fontId="8" fillId="8" borderId="15" applyAlignment="1" pivotButton="0" quotePrefix="0" xfId="0">
      <alignment horizontal="left" vertical="top" wrapText="1"/>
    </xf>
    <xf numFmtId="0" fontId="11" fillId="11" borderId="0" applyAlignment="1" pivotButton="0" quotePrefix="0" xfId="0">
      <alignment horizontal="center" vertical="center" wrapText="1"/>
    </xf>
    <xf numFmtId="0" fontId="12" fillId="13" borderId="29" applyAlignment="1" pivotButton="0" quotePrefix="0" xfId="0">
      <alignment horizontal="center" vertical="center" wrapText="1"/>
    </xf>
    <xf numFmtId="0" fontId="13" fillId="10" borderId="29" applyAlignment="1" pivotButton="0" quotePrefix="0" xfId="0">
      <alignment horizontal="center" vertical="center" wrapText="1"/>
    </xf>
    <xf numFmtId="0" fontId="0" fillId="10" borderId="29" applyAlignment="1" pivotButton="0" quotePrefix="0" xfId="0">
      <alignment horizontal="center" vertical="center" wrapText="1"/>
    </xf>
    <xf numFmtId="0" fontId="13" fillId="14" borderId="29" applyAlignment="1" pivotButton="0" quotePrefix="0" xfId="0">
      <alignment horizontal="center" vertical="center" wrapText="1"/>
    </xf>
    <xf numFmtId="0" fontId="8" fillId="14" borderId="29" applyAlignment="1" pivotButton="0" quotePrefix="0" xfId="0">
      <alignment horizontal="center" vertical="center" wrapText="1"/>
    </xf>
    <xf numFmtId="0" fontId="13" fillId="15" borderId="29" applyAlignment="1" pivotButton="0" quotePrefix="0" xfId="0">
      <alignment horizontal="center" vertical="center" wrapText="1"/>
    </xf>
    <xf numFmtId="0" fontId="8" fillId="15" borderId="29" applyAlignment="1" pivotButton="0" quotePrefix="0" xfId="0">
      <alignment horizontal="center" vertical="center" wrapText="1"/>
    </xf>
    <xf numFmtId="0" fontId="13" fillId="16" borderId="29" applyAlignment="1" pivotButton="0" quotePrefix="0" xfId="0">
      <alignment horizontal="center" vertical="center" wrapText="1"/>
    </xf>
    <xf numFmtId="0" fontId="8" fillId="16" borderId="29" applyAlignment="1" pivotButton="0" quotePrefix="0" xfId="0">
      <alignment horizontal="center" vertical="center" wrapText="1"/>
    </xf>
    <xf numFmtId="0" fontId="13" fillId="17" borderId="29" applyAlignment="1" pivotButton="0" quotePrefix="0" xfId="0">
      <alignment horizontal="center" vertical="center" wrapText="1"/>
    </xf>
    <xf numFmtId="0" fontId="8" fillId="17" borderId="29" applyAlignment="1" pivotButton="0" quotePrefix="0" xfId="0">
      <alignment horizontal="center" vertical="center" wrapText="1"/>
    </xf>
    <xf numFmtId="0" fontId="13" fillId="18" borderId="29" applyAlignment="1" pivotButton="0" quotePrefix="0" xfId="0">
      <alignment horizontal="center" vertical="center" wrapText="1"/>
    </xf>
    <xf numFmtId="0" fontId="8" fillId="18" borderId="29" applyAlignment="1" pivotButton="0" quotePrefix="0" xfId="0">
      <alignment horizontal="center" vertical="center" wrapText="1"/>
    </xf>
    <xf numFmtId="0" fontId="14" fillId="7" borderId="29" applyAlignment="1" pivotButton="0" quotePrefix="0" xfId="0">
      <alignment horizontal="center" vertical="center" wrapText="1"/>
    </xf>
    <xf numFmtId="0" fontId="0" fillId="7" borderId="29" applyAlignment="1" pivotButton="0" quotePrefix="0" xfId="0">
      <alignment horizontal="center" vertical="center" wrapText="1"/>
    </xf>
    <xf numFmtId="164" fontId="14" fillId="7" borderId="29" applyAlignment="1" pivotButton="0" quotePrefix="0" xfId="0">
      <alignment horizontal="center" vertical="center" wrapText="1"/>
    </xf>
    <xf numFmtId="9" fontId="14" fillId="7" borderId="29" applyAlignment="1" pivotButton="0" quotePrefix="0" xfId="0">
      <alignment horizontal="center" vertical="center" wrapText="1"/>
    </xf>
    <xf numFmtId="0" fontId="15" fillId="19" borderId="29" applyAlignment="1" pivotButton="0" quotePrefix="0" xfId="0">
      <alignment horizontal="left" vertical="center" wrapText="1"/>
    </xf>
    <xf numFmtId="9" fontId="8" fillId="7" borderId="31" applyAlignment="1" pivotButton="0" quotePrefix="0" xfId="0">
      <alignment horizontal="left" vertical="top" wrapText="1"/>
    </xf>
    <xf numFmtId="164" fontId="8" fillId="7" borderId="31" applyAlignment="1" pivotButton="0" quotePrefix="0" xfId="0">
      <alignment horizontal="left" vertical="top" wrapText="1"/>
    </xf>
    <xf numFmtId="9" fontId="8" fillId="12" borderId="31" applyAlignment="1" pivotButton="0" quotePrefix="0" xfId="0">
      <alignment horizontal="left" vertical="top" wrapText="1"/>
    </xf>
    <xf numFmtId="164" fontId="8" fillId="12" borderId="31" applyAlignment="1" pivotButton="0" quotePrefix="0" xfId="0">
      <alignment horizontal="left" vertical="top" wrapText="1"/>
    </xf>
    <xf numFmtId="1" fontId="8" fillId="12" borderId="31" applyAlignment="1" pivotButton="0" quotePrefix="0" xfId="0">
      <alignment horizontal="left" vertical="top" wrapText="1"/>
    </xf>
    <xf numFmtId="1" fontId="8" fillId="7" borderId="31" applyAlignment="1" pivotButton="0" quotePrefix="0" xfId="0">
      <alignment horizontal="left" vertical="top" wrapText="1"/>
    </xf>
    <xf numFmtId="0" fontId="11" fillId="10" borderId="31" applyAlignment="1" pivotButton="0" quotePrefix="0" xfId="0">
      <alignment horizontal="left" vertical="top" wrapText="1"/>
    </xf>
    <xf numFmtId="0" fontId="11" fillId="23" borderId="31" applyAlignment="1" pivotButton="0" quotePrefix="0" xfId="0">
      <alignment horizontal="center" vertical="center" wrapText="1"/>
    </xf>
    <xf numFmtId="0" fontId="11" fillId="18" borderId="31" applyAlignment="1" pivotButton="0" quotePrefix="0" xfId="0">
      <alignment horizontal="left" vertical="top" wrapText="1"/>
    </xf>
    <xf numFmtId="0" fontId="11" fillId="13" borderId="31" applyAlignment="1" pivotButton="0" quotePrefix="0" xfId="0">
      <alignment horizontal="center" vertical="center" wrapText="1"/>
    </xf>
    <xf numFmtId="0" fontId="11" fillId="16" borderId="31" applyAlignment="1" pivotButton="0" quotePrefix="0" xfId="0">
      <alignment horizontal="left" vertical="top" wrapText="1"/>
    </xf>
    <xf numFmtId="0" fontId="11" fillId="24" borderId="31" applyAlignment="1" pivotButton="0" quotePrefix="0" xfId="0">
      <alignment horizontal="center" vertical="center" wrapText="1"/>
    </xf>
    <xf numFmtId="0" fontId="11" fillId="15" borderId="31" applyAlignment="1" pivotButton="0" quotePrefix="0" xfId="0">
      <alignment horizontal="left" vertical="top" wrapText="1"/>
    </xf>
    <xf numFmtId="0" fontId="11" fillId="20" borderId="31" applyAlignment="1" pivotButton="0" quotePrefix="0" xfId="0">
      <alignment horizontal="left" vertical="top" wrapText="1"/>
    </xf>
    <xf numFmtId="0" fontId="11" fillId="21" borderId="31" applyAlignment="1" pivotButton="0" quotePrefix="0" xfId="0">
      <alignment horizontal="left" vertical="top" wrapText="1"/>
    </xf>
    <xf numFmtId="0" fontId="11" fillId="14" borderId="31" applyAlignment="1" pivotButton="0" quotePrefix="0" xfId="0">
      <alignment horizontal="left" vertical="top" wrapText="1"/>
    </xf>
    <xf numFmtId="0" fontId="11" fillId="22" borderId="31" applyAlignment="1" pivotButton="0" quotePrefix="0" xfId="0">
      <alignment horizontal="left" vertical="top" wrapText="1"/>
    </xf>
    <xf numFmtId="0" fontId="11" fillId="17" borderId="31" applyAlignment="1" pivotButton="0" quotePrefix="0" xfId="0">
      <alignment horizontal="left" vertical="top" wrapText="1"/>
    </xf>
    <xf numFmtId="0" fontId="11" fillId="12" borderId="31" applyAlignment="1" pivotButton="0" quotePrefix="0" xfId="0">
      <alignment horizontal="center" vertical="center" wrapText="1"/>
    </xf>
    <xf numFmtId="0" fontId="11" fillId="7" borderId="31" applyAlignment="1" pivotButton="0" quotePrefix="0" xfId="0">
      <alignment horizontal="center" vertical="center" wrapText="1"/>
    </xf>
    <xf numFmtId="0" fontId="8" fillId="8" borderId="11" applyAlignment="1" pivotButton="0" quotePrefix="0" xfId="0">
      <alignment horizontal="left" vertical="top" wrapText="1"/>
    </xf>
    <xf numFmtId="164" fontId="8" fillId="8" borderId="0" applyAlignment="1" pivotButton="0" quotePrefix="0" xfId="0">
      <alignment horizontal="left" vertical="top" wrapText="1"/>
    </xf>
    <xf numFmtId="0" fontId="8" fillId="8" borderId="12" applyAlignment="1" pivotButton="0" quotePrefix="0" xfId="0">
      <alignment horizontal="left" vertical="top" wrapText="1"/>
    </xf>
    <xf numFmtId="164" fontId="8" fillId="8" borderId="14" applyAlignment="1" pivotButton="0" quotePrefix="0" xfId="0">
      <alignment horizontal="left" vertical="top" wrapText="1"/>
    </xf>
    <xf numFmtId="0" fontId="11" fillId="8" borderId="0" applyAlignment="1" pivotButton="0" quotePrefix="0" xfId="0">
      <alignment horizontal="center" vertical="center" wrapText="1"/>
    </xf>
    <xf numFmtId="0" fontId="11" fillId="8" borderId="14" applyAlignment="1" pivotButton="0" quotePrefix="0" xfId="0">
      <alignment horizontal="center" vertical="center" wrapText="1"/>
    </xf>
    <xf numFmtId="166" fontId="8" fillId="12" borderId="31" applyAlignment="1" pivotButton="0" quotePrefix="0" xfId="0">
      <alignment horizontal="left" vertical="top" wrapText="1"/>
    </xf>
    <xf numFmtId="166" fontId="8" fillId="7" borderId="31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8" fillId="7" borderId="3" applyAlignment="1" pivotButton="0" quotePrefix="0" xfId="0">
      <alignment horizontal="left" vertical="top" wrapText="1"/>
    </xf>
    <xf numFmtId="0" fontId="8" fillId="7" borderId="4" applyAlignment="1" pivotButton="0" quotePrefix="0" xfId="0">
      <alignment horizontal="left" vertical="top" wrapText="1"/>
    </xf>
  </cellXfs>
  <cellStyles count="1">
    <cellStyle name="Normal" xfId="0"/>
  </cellStyles>
  <dxfs count="9">
    <dxf>
      <font>
        <b val="1"/>
        <color rgb="FFC94848"/>
      </font>
      <fill>
        <patternFill patternType="solid">
          <bgColor rgb="FFFBE9E9"/>
        </patternFill>
      </fill>
    </dxf>
    <dxf>
      <font>
        <b val="1"/>
        <color rgb="FFC94848"/>
      </font>
      <fill>
        <patternFill patternType="solid">
          <bgColor rgb="FFFBE9E9"/>
        </patternFill>
      </fill>
    </dxf>
    <dxf>
      <font>
        <color rgb="FF2E8B57"/>
      </font>
      <fill>
        <patternFill patternType="solid">
          <bgColor rgb="FFE8F5EE"/>
        </patternFill>
      </fill>
    </dxf>
    <dxf>
      <font>
        <b val="1"/>
        <color rgb="FFC94848"/>
      </font>
      <fill>
        <patternFill patternType="solid">
          <bgColor rgb="FFFBE9E9"/>
        </patternFill>
      </fill>
    </dxf>
    <dxf>
      <font>
        <color rgb="FFC94848"/>
      </font>
      <fill>
        <patternFill patternType="solid">
          <bgColor rgb="FFFBE9E9"/>
        </patternFill>
      </fill>
    </dxf>
    <dxf>
      <font>
        <color rgb="FF2E8B57"/>
      </font>
      <fill>
        <patternFill patternType="solid">
          <bgColor rgb="FFE8F5EE"/>
        </patternFill>
      </fill>
    </dxf>
    <dxf>
      <font>
        <color rgb="FFC94848"/>
      </font>
      <fill>
        <patternFill patternType="solid">
          <bgColor rgb="FFFBE9E9"/>
        </patternFill>
      </fill>
    </dxf>
    <dxf>
      <font>
        <b val="1"/>
        <color rgb="FFC94848"/>
      </font>
      <fill>
        <patternFill patternType="solid">
          <bgColor rgb="FFFBE9E9"/>
        </patternFill>
      </fill>
    </dxf>
    <dxf>
      <font>
        <color rgb="FF2E8B57"/>
      </font>
      <fill>
        <patternFill patternType="solid">
          <bgColor rgb="FFE8F5E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阶段完成度</v>
          </tx>
          <spPr>
            <a:ln xmlns:a="http://schemas.openxmlformats.org/drawingml/2006/main">
              <a:prstDash val="solid"/>
            </a:ln>
          </spPr>
          <cat>
            <strRef>
              <f>'总览'!$B$11:$B$19</f>
              <strCache>
                <ptCount val="0"/>
              </strCache>
            </strRef>
          </cat>
          <val>
            <numRef>
              <f>'总览'!$E$11:$E$19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完成度</a:t>
                </a:r>
              </a:p>
            </rich>
          </tx>
          <overlay val="0"/>
        </title>
        <numFmt formatCode="0%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21</row>
      <rowOff>0</rowOff>
    </from>
    <to>
      <col>8</col>
      <colOff>0</colOff>
      <row>38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deaPoolTable" displayName="IdeaPoolTable" ref="A3:R52" headerRowCount="1">
  <tableColumns count="18">
    <tableColumn id="1" name="Topic ID"/>
    <tableColumn id="2" name="候选选题"/>
    <tableColumn id="3" name="内容支柱"/>
    <tableColumn id="4" name="趋势信号(1-10)"/>
    <tableColumn id="5" name="受众需求(1-10)"/>
    <tableColumn id="6" name="竞争空间(1-10)"/>
    <tableColumn id="7" name="差异化(1-10)"/>
    <tableColumn id="8" name="视觉潜力(1-10)"/>
    <tableColumn id="9" name="常青价值(1-10)"/>
    <tableColumn id="10" name="商业匹配(1-10)"/>
    <tableColumn id="11" name="证据/竞品链接"/>
    <tableColumn id="12" name="总分"/>
    <tableColumn id="13" name="建议决策"/>
    <tableColumn id="14" name="目标形式"/>
    <tableColumn id="15" name="预计时长(分钟)"/>
    <tableColumn id="16" name="提出日期"/>
    <tableColumn id="17" name="最后更新"/>
    <tableColumn id="18" name="备注"/>
  </tableColumns>
  <tableStyleInfo name="TableStyleMedium2" showRowStripes="1"/>
</table>
</file>

<file path=xl/tables/table2.xml><?xml version="1.0" encoding="utf-8"?>
<table xmlns="http://schemas.openxmlformats.org/spreadsheetml/2006/main" id="2" name="VideoProjectsTable" displayName="VideoProjectsTable" ref="A3:T52" headerRowCount="1">
  <tableColumns count="20">
    <tableColumn id="1" name="Video ID"/>
    <tableColumn id="2" name="项目标题"/>
    <tableColumn id="3" name="关联 Topic ID"/>
    <tableColumn id="4" name="内容支柱"/>
    <tableColumn id="5" name="视频形式"/>
    <tableColumn id="6" name="目标时长(分钟)"/>
    <tableColumn id="7" name="目标受众"/>
    <tableColumn id="8" name="核心承诺"/>
    <tableColumn id="9" name="机会评分"/>
    <tableColumn id="10" name="项目状态"/>
    <tableColumn id="11" name="优先级"/>
    <tableColumn id="12" name="负责人"/>
    <tableColumn id="13" name="开始日期"/>
    <tableColumn id="14" name="目标发布日期"/>
    <tableColumn id="15" name="实际发布日期"/>
    <tableColumn id="16" name="总体完成度"/>
    <tableColumn id="17" name="剩余天数"/>
    <tableColumn id="18" name="项目文件夹/链接"/>
    <tableColumn id="19" name="最后更新"/>
    <tableColumn id="20" name="备注"/>
  </tableColumns>
  <tableStyleInfo name="TableStyleMedium2" showRowStripes="1"/>
</table>
</file>

<file path=xl/tables/table3.xml><?xml version="1.0" encoding="utf-8"?>
<table xmlns="http://schemas.openxmlformats.org/spreadsheetml/2006/main" id="3" name="TasksTable" displayName="TasksTable" ref="A3:Q500" headerRowCount="1">
  <tableColumns count="17">
    <tableColumn id="1" name="Video ID"/>
    <tableColumn id="2" name="阶段"/>
    <tableColumn id="3" name="阶段序号"/>
    <tableColumn id="4" name="任务"/>
    <tableColumn id="5" name="AI 支持"/>
    <tableColumn id="6" name="人工关键判断"/>
    <tableColumn id="7" name="交付物/完成标准"/>
    <tableColumn id="8" name="状态"/>
    <tableColumn id="9" name="优先级"/>
    <tableColumn id="10" name="负责人"/>
    <tableColumn id="11" name="计划开始"/>
    <tableColumn id="12" name="实际开始"/>
    <tableColumn id="13" name="截止日期"/>
    <tableColumn id="14" name="依赖项"/>
    <tableColumn id="15" name="工具/工作区"/>
    <tableColumn id="16" name="完成度"/>
    <tableColumn id="17" name="备注"/>
  </tableColumns>
  <tableStyleInfo name="TableStyleMedium2" showRowStripes="1"/>
</table>
</file>

<file path=xl/tables/table4.xml><?xml version="1.0" encoding="utf-8"?>
<table xmlns="http://schemas.openxmlformats.org/spreadsheetml/2006/main" id="4" name="ResearchLibraryTable" displayName="ResearchLibraryTable" ref="A3:Q302" headerRowCount="1">
  <tableColumns count="17">
    <tableColumn id="1" name="Video ID"/>
    <tableColumn id="2" name="Source ID"/>
    <tableColumn id="3" name="研究问题"/>
    <tableColumn id="4" name="来源标题"/>
    <tableColumn id="5" name="来源类型"/>
    <tableColumn id="6" name="作者/机构"/>
    <tableColumn id="7" name="发布日期"/>
    <tableColumn id="8" name="访问日期"/>
    <tableColumn id="9" name="URL"/>
    <tableColumn id="10" name="核心事实/观点"/>
    <tableColumn id="11" name="直接引用(少量)"/>
    <tableColumn id="12" name="可信度"/>
    <tableColumn id="13" name="立场/偏差"/>
    <tableColumn id="14" name="可用于脚本位置"/>
    <tableColumn id="15" name="事实/观点/推断"/>
    <tableColumn id="16" name="已核验"/>
    <tableColumn id="17" name="备注"/>
  </tableColumns>
  <tableStyleInfo name="TableStyleMedium2" showRowStripes="1"/>
</table>
</file>

<file path=xl/tables/table5.xml><?xml version="1.0" encoding="utf-8"?>
<table xmlns="http://schemas.openxmlformats.org/spreadsheetml/2006/main" id="5" name="AssetsTrackerTable" displayName="AssetsTrackerTable" ref="A3:P302" headerRowCount="1">
  <tableColumns count="16">
    <tableColumn id="1" name="Video ID"/>
    <tableColumn id="2" name="Asset ID"/>
    <tableColumn id="3" name="脚本段落/时间码"/>
    <tableColumn id="4" name="素材类型"/>
    <tableColumn id="5" name="素材描述"/>
    <tableColumn id="6" name="画面目的"/>
    <tableColumn id="7" name="来源方式"/>
    <tableColumn id="8" name="来源/文件链接"/>
    <tableColumn id="9" name="授权/版权状态"/>
    <tableColumn id="10" name="状态"/>
    <tableColumn id="11" name="负责人"/>
    <tableColumn id="12" name="计划完成"/>
    <tableColumn id="13" name="实际完成"/>
    <tableColumn id="14" name="文件名"/>
    <tableColumn id="15" name="使用位置"/>
    <tableColumn id="16" name="备注"/>
  </tableColumns>
  <tableStyleInfo name="TableStyleMedium2" showRowStripes="1"/>
</table>
</file>

<file path=xl/tables/table6.xml><?xml version="1.0" encoding="utf-8"?>
<table xmlns="http://schemas.openxmlformats.org/spreadsheetml/2006/main" id="6" name="PublishReviewTable" displayName="PublishReviewTable" ref="A3:Y103" headerRowCount="1">
  <tableColumns count="25">
    <tableColumn id="1" name="Video ID"/>
    <tableColumn id="2" name="平台"/>
    <tableColumn id="3" name="发布日期"/>
    <tableColumn id="4" name="视频标题"/>
    <tableColumn id="5" name="缩略图版本"/>
    <tableColumn id="6" name="视频时长(秒)"/>
    <tableColumn id="7" name="曝光量"/>
    <tableColumn id="8" name="播放量"/>
    <tableColumn id="9" name="CTR"/>
    <tableColumn id="10" name="总观看时长(小时)"/>
    <tableColumn id="11" name="平均观看时长(秒)"/>
    <tableColumn id="12" name="平均观看比例"/>
    <tableColumn id="13" name="点赞"/>
    <tableColumn id="14" name="评论"/>
    <tableColumn id="15" name="新增订阅"/>
    <tableColumn id="16" name="24h 播放"/>
    <tableColumn id="17" name="7d 播放"/>
    <tableColumn id="18" name="28d 播放"/>
    <tableColumn id="19" name="前30秒留存"/>
    <tableColumn id="20" name="最大流失时间点"/>
    <tableColumn id="21" name="最大重看时间点"/>
    <tableColumn id="22" name="评论主题摘要"/>
    <tableColumn id="23" name="表现好的部分"/>
    <tableColumn id="24" name="主要问题"/>
    <tableColumn id="25" name="下期实验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64748B"/>
    <outlinePr summaryBelow="1" summaryRight="1"/>
    <pageSetUpPr/>
  </sheetPr>
  <dimension ref="A1:H2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22" customWidth="1" style="48" min="3" max="3"/>
    <col width="20" customWidth="1" style="48" min="4" max="4"/>
    <col width="20" customWidth="1" style="48" min="5" max="5"/>
    <col width="12" customWidth="1" style="48" min="6" max="6"/>
    <col width="20" customWidth="1" style="48" min="7" max="7"/>
    <col width="24" customWidth="1" style="48" min="8" max="8"/>
  </cols>
  <sheetData>
    <row r="1" ht="28" customHeight="1" s="48">
      <c r="A1" s="255" t="inlineStr">
        <is>
          <t>AI YouTube Content Pipeline｜使用说明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56" t="n"/>
      <c r="B2" s="256" t="n"/>
      <c r="C2" s="256" t="n"/>
      <c r="D2" s="256" t="n"/>
      <c r="E2" s="256" t="n"/>
      <c r="F2" s="256" t="n"/>
      <c r="G2" s="256" t="n"/>
      <c r="H2" s="256" t="n"/>
    </row>
    <row r="3" ht="38" customHeight="1" s="48">
      <c r="A3" s="257" t="inlineStr">
        <is>
          <t>这不是单纯的任务清单，而是一套从选题发现 → 制作执行 → 发布复盘的闭环项目模板。</t>
        </is>
      </c>
      <c r="B3" s="258" t="n"/>
      <c r="C3" s="258" t="n"/>
      <c r="D3" s="258" t="n"/>
      <c r="E3" s="258" t="n"/>
      <c r="F3" s="258" t="n"/>
      <c r="G3" s="258" t="n"/>
      <c r="H3" s="258" t="n"/>
    </row>
    <row r="4">
      <c r="A4" s="256" t="n"/>
      <c r="B4" s="256" t="n"/>
      <c r="C4" s="256" t="n"/>
      <c r="D4" s="256" t="n"/>
      <c r="E4" s="256" t="n"/>
      <c r="F4" s="256" t="n"/>
      <c r="G4" s="256" t="n"/>
      <c r="H4" s="256" t="n"/>
    </row>
    <row r="5" ht="24" customHeight="1" s="48">
      <c r="A5" s="259" t="inlineStr">
        <is>
          <t>工作表</t>
        </is>
      </c>
      <c r="B5" s="259" t="inlineStr">
        <is>
          <t>作用</t>
        </is>
      </c>
      <c r="C5" s="259" t="inlineStr">
        <is>
          <t>什么时候使用</t>
        </is>
      </c>
      <c r="D5" s="259" t="inlineStr">
        <is>
          <t>核心输入</t>
        </is>
      </c>
      <c r="E5" s="259" t="inlineStr">
        <is>
          <t>核心输出</t>
        </is>
      </c>
      <c r="F5" s="259" t="inlineStr">
        <is>
          <t>建议频率</t>
        </is>
      </c>
      <c r="G5" s="259" t="inlineStr">
        <is>
          <t>AI 主要作用</t>
        </is>
      </c>
      <c r="H5" s="259" t="inlineStr">
        <is>
          <t>你必须做的判断</t>
        </is>
      </c>
    </row>
    <row r="6" ht="28" customHeight="1" s="48">
      <c r="A6" s="260" t="inlineStr">
        <is>
          <t>总览</t>
        </is>
      </c>
      <c r="B6" s="260" t="inlineStr">
        <is>
          <t>单期视频的控制台</t>
        </is>
      </c>
      <c r="C6" s="260" t="inlineStr">
        <is>
          <t>每天开始工作前</t>
        </is>
      </c>
      <c r="D6" s="260" t="inlineStr">
        <is>
          <t>选择视频 ID</t>
        </is>
      </c>
      <c r="E6" s="260" t="inlineStr">
        <is>
          <t>阶段进度、逾期风险、发布日期</t>
        </is>
      </c>
      <c r="F6" s="260" t="inlineStr">
        <is>
          <t>每日</t>
        </is>
      </c>
      <c r="G6" s="260" t="inlineStr">
        <is>
          <t>汇总与提醒</t>
        </is>
      </c>
      <c r="H6" s="260" t="inlineStr">
        <is>
          <t>是否调整优先级</t>
        </is>
      </c>
    </row>
    <row r="7" ht="28" customHeight="1" s="48">
      <c r="A7" s="261" t="inlineStr">
        <is>
          <t>选题池</t>
        </is>
      </c>
      <c r="B7" s="261" t="inlineStr">
        <is>
          <t>持续积累并评分候选选题</t>
        </is>
      </c>
      <c r="C7" s="261" t="inlineStr">
        <is>
          <t>发现新想法时</t>
        </is>
      </c>
      <c r="D7" s="261" t="inlineStr">
        <is>
          <t>趋势、竞争、差异化、视觉潜力</t>
        </is>
      </c>
      <c r="E7" s="261" t="inlineStr">
        <is>
          <t>可拍/暂缓/淘汰</t>
        </is>
      </c>
      <c r="F7" s="261" t="inlineStr">
        <is>
          <t>每周</t>
        </is>
      </c>
      <c r="G7" s="261" t="inlineStr">
        <is>
          <t>趋势分析、竞品扫描、机会识别</t>
        </is>
      </c>
      <c r="H7" s="261" t="inlineStr">
        <is>
          <t>是否值得投入</t>
        </is>
      </c>
    </row>
    <row r="8" ht="28" customHeight="1" s="48">
      <c r="A8" s="260" t="inlineStr">
        <is>
          <t>视频项目</t>
        </is>
      </c>
      <c r="B8" s="260" t="inlineStr">
        <is>
          <t>管理多期视频</t>
        </is>
      </c>
      <c r="C8" s="260" t="inlineStr">
        <is>
          <t>确定要制作后</t>
        </is>
      </c>
      <c r="D8" s="260" t="inlineStr">
        <is>
          <t>目标受众、核心承诺、发布日期</t>
        </is>
      </c>
      <c r="E8" s="260" t="inlineStr">
        <is>
          <t>项目主记录</t>
        </is>
      </c>
      <c r="F8" s="260" t="inlineStr">
        <is>
          <t>每期一次</t>
        </is>
      </c>
      <c r="G8" s="260" t="inlineStr">
        <is>
          <t>完善定位和计划</t>
        </is>
      </c>
      <c r="H8" s="260" t="inlineStr">
        <is>
          <t>核心观点与边界</t>
        </is>
      </c>
    </row>
    <row r="9" ht="28" customHeight="1" s="48">
      <c r="A9" s="261" t="inlineStr">
        <is>
          <t>任务计划</t>
        </is>
      </c>
      <c r="B9" s="261" t="inlineStr">
        <is>
          <t>把 9 阶段拆成可执行动作</t>
        </is>
      </c>
      <c r="C9" s="261" t="inlineStr">
        <is>
          <t>项目启动后</t>
        </is>
      </c>
      <c r="D9" s="261" t="inlineStr">
        <is>
          <t>状态、负责人、日期、依赖</t>
        </is>
      </c>
      <c r="E9" s="261" t="inlineStr">
        <is>
          <t>下一步行动</t>
        </is>
      </c>
      <c r="F9" s="261" t="inlineStr">
        <is>
          <t>每日</t>
        </is>
      </c>
      <c r="G9" s="261" t="inlineStr">
        <is>
          <t>生成草稿、检查遗漏、给建议</t>
        </is>
      </c>
      <c r="H9" s="261" t="inlineStr">
        <is>
          <t>接受/修改/否决</t>
        </is>
      </c>
    </row>
    <row r="10" ht="28" customHeight="1" s="48">
      <c r="A10" s="260" t="inlineStr">
        <is>
          <t>研究库</t>
        </is>
      </c>
      <c r="B10" s="260" t="inlineStr">
        <is>
          <t>保存事实、观点与来源</t>
        </is>
      </c>
      <c r="C10" s="260" t="inlineStr">
        <is>
          <t>Research 阶段</t>
        </is>
      </c>
      <c r="D10" s="260" t="inlineStr">
        <is>
          <t>来源、证据、可信度、用途</t>
        </is>
      </c>
      <c r="E10" s="260" t="inlineStr">
        <is>
          <t>可引用研究材料</t>
        </is>
      </c>
      <c r="F10" s="260" t="inlineStr">
        <is>
          <t>随研究更新</t>
        </is>
      </c>
      <c r="G10" s="260" t="inlineStr">
        <is>
          <t>检索、摘要、观点对比</t>
        </is>
      </c>
      <c r="H10" s="260" t="inlineStr">
        <is>
          <t>事实是否可靠</t>
        </is>
      </c>
    </row>
    <row r="11" ht="28" customHeight="1" s="48">
      <c r="A11" s="261" t="inlineStr">
        <is>
          <t>素材清单</t>
        </is>
      </c>
      <c r="B11" s="261" t="inlineStr">
        <is>
          <t>管理 B-roll、图片、图表、音乐等</t>
        </is>
      </c>
      <c r="C11" s="261" t="inlineStr">
        <is>
          <t>Assets/Edit 阶段</t>
        </is>
      </c>
      <c r="D11" s="261" t="inlineStr">
        <is>
          <t>素材类型、版权、用途、状态</t>
        </is>
      </c>
      <c r="E11" s="261" t="inlineStr">
        <is>
          <t>可用素材包</t>
        </is>
      </c>
      <c r="F11" s="261" t="inlineStr">
        <is>
          <t>随制作更新</t>
        </is>
      </c>
      <c r="G11" s="261" t="inlineStr">
        <is>
          <t>列清单、生成提示词、辅助检索</t>
        </is>
      </c>
      <c r="H11" s="261" t="inlineStr">
        <is>
          <t>版权与审美</t>
        </is>
      </c>
    </row>
    <row r="12" ht="28" customHeight="1" s="48">
      <c r="A12" s="260" t="inlineStr">
        <is>
          <t>发布复盘</t>
        </is>
      </c>
      <c r="B12" s="260" t="inlineStr">
        <is>
          <t>记录 CTR、留存与下一期建议</t>
        </is>
      </c>
      <c r="C12" s="260" t="inlineStr">
        <is>
          <t>发布后 24h/7d/28d</t>
        </is>
      </c>
      <c r="D12" s="260" t="inlineStr">
        <is>
          <t>曝光、播放、观看时长、评论</t>
        </is>
      </c>
      <c r="E12" s="260" t="inlineStr">
        <is>
          <t>问题诊断与下一步实验</t>
        </is>
      </c>
      <c r="F12" s="260" t="inlineStr">
        <is>
          <t>每期 3 次</t>
        </is>
      </c>
      <c r="G12" s="260" t="inlineStr">
        <is>
          <t>分析异常、总结评论、提出实验</t>
        </is>
      </c>
      <c r="H12" s="260" t="inlineStr">
        <is>
          <t>下一期改什么</t>
        </is>
      </c>
    </row>
    <row r="13" ht="28" customHeight="1" s="48">
      <c r="A13" s="262" t="n"/>
      <c r="B13" s="263" t="n"/>
      <c r="C13" s="263" t="n"/>
      <c r="D13" s="263" t="n"/>
      <c r="E13" s="263" t="n"/>
      <c r="F13" s="263" t="n"/>
      <c r="G13" s="263" t="n"/>
      <c r="H13" s="264" t="n"/>
    </row>
    <row r="14" ht="28" customHeight="1" s="48">
      <c r="A14" s="256" t="n"/>
      <c r="B14" s="256" t="n"/>
      <c r="C14" s="256" t="n"/>
      <c r="D14" s="256" t="n"/>
      <c r="E14" s="256" t="n"/>
      <c r="F14" s="256" t="n"/>
      <c r="G14" s="256" t="n"/>
      <c r="H14" s="256" t="n"/>
    </row>
    <row r="15" ht="28" customHeight="1" s="48">
      <c r="A15" s="261" t="inlineStr">
        <is>
          <t>推荐使用规则</t>
        </is>
      </c>
      <c r="B15" s="261" t="n"/>
      <c r="C15" s="261" t="n"/>
      <c r="D15" s="261" t="n"/>
      <c r="E15" s="261" t="n"/>
      <c r="F15" s="261" t="n"/>
      <c r="G15" s="261" t="n"/>
      <c r="H15" s="261" t="n"/>
    </row>
    <row r="16" ht="28" customHeight="1" s="48">
      <c r="A16" s="260" t="inlineStr">
        <is>
          <t>1</t>
        </is>
      </c>
      <c r="B16" s="260" t="inlineStr">
        <is>
          <t>一个视频只有一个 Video ID，所有工作表通过 Video ID 关联。</t>
        </is>
      </c>
      <c r="C16" s="260" t="n"/>
      <c r="D16" s="260" t="n"/>
      <c r="E16" s="260" t="n"/>
      <c r="F16" s="260" t="n"/>
      <c r="G16" s="260" t="n"/>
      <c r="H16" s="260" t="n"/>
    </row>
    <row r="17" ht="28" customHeight="1" s="48">
      <c r="A17" s="261" t="inlineStr">
        <is>
          <t>2</t>
        </is>
      </c>
      <c r="B17" s="261" t="inlineStr">
        <is>
          <t>状态尽量只通过下拉选项修改，避免同义词导致统计失效。</t>
        </is>
      </c>
      <c r="C17" s="261" t="n"/>
      <c r="D17" s="261" t="n"/>
      <c r="E17" s="261" t="n"/>
      <c r="F17" s="261" t="n"/>
      <c r="G17" s="261" t="n"/>
      <c r="H17" s="261" t="n"/>
    </row>
    <row r="18" ht="28" customHeight="1" s="48">
      <c r="A18" s="260" t="inlineStr">
        <is>
          <t>3</t>
        </is>
      </c>
      <c r="B18" s="260" t="inlineStr">
        <is>
          <t>AI 产出的内容先放在“AI 支持/笔记”列，不要直接当最终结论。</t>
        </is>
      </c>
      <c r="C18" s="260" t="n"/>
      <c r="D18" s="260" t="n"/>
      <c r="E18" s="260" t="n"/>
      <c r="F18" s="260" t="n"/>
      <c r="G18" s="260" t="n"/>
      <c r="H18" s="260" t="n"/>
    </row>
    <row r="19" ht="28" customHeight="1" s="48">
      <c r="A19" s="261" t="inlineStr">
        <is>
          <t>4</t>
        </is>
      </c>
      <c r="B19" s="261" t="inlineStr">
        <is>
          <t>研究来源至少记录 URL、发布日期和可信度；事实、观点、推断要分开。</t>
        </is>
      </c>
      <c r="C19" s="261" t="n"/>
      <c r="D19" s="261" t="n"/>
      <c r="E19" s="261" t="n"/>
      <c r="F19" s="261" t="n"/>
      <c r="G19" s="261" t="n"/>
      <c r="H19" s="261" t="n"/>
    </row>
    <row r="20" ht="28" customHeight="1" s="48">
      <c r="A20" s="260" t="inlineStr">
        <is>
          <t>5</t>
        </is>
      </c>
      <c r="B20" s="260" t="inlineStr">
        <is>
          <t>素材必须记录授权或来源；没有确认版权的素材不要进入最终剪辑。</t>
        </is>
      </c>
      <c r="C20" s="260" t="n"/>
      <c r="D20" s="260" t="n"/>
      <c r="E20" s="260" t="n"/>
      <c r="F20" s="260" t="n"/>
      <c r="G20" s="260" t="n"/>
      <c r="H20" s="260" t="n"/>
    </row>
    <row r="21" ht="28" customHeight="1" s="48">
      <c r="A21" s="261" t="inlineStr">
        <is>
          <t>6</t>
        </is>
      </c>
      <c r="B21" s="261" t="inlineStr">
        <is>
          <t>发布后不要只看播放量：优先看 CTR、前 30 秒留存、平均观看比例和评论主题。</t>
        </is>
      </c>
      <c r="C21" s="261" t="n"/>
      <c r="D21" s="261" t="n"/>
      <c r="E21" s="261" t="n"/>
      <c r="F21" s="261" t="n"/>
      <c r="G21" s="261" t="n"/>
      <c r="H21" s="261" t="n"/>
    </row>
  </sheetData>
  <mergeCells count="3">
    <mergeCell ref="A1:H1"/>
    <mergeCell ref="A3:H3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N20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style="48" min="1" max="1"/>
    <col width="14" customWidth="1" style="48" min="2" max="2"/>
    <col width="12" customWidth="1" style="48" min="3" max="3"/>
    <col width="12" customWidth="1" style="48" min="4" max="4"/>
    <col width="11" customWidth="1" style="48" min="5" max="5"/>
    <col width="11" customWidth="1" style="48" min="6" max="6"/>
    <col width="14" customWidth="1" style="48" min="7" max="7"/>
    <col width="11" customWidth="1" style="48" min="8" max="8"/>
    <col width="11" customWidth="1" style="48" min="9" max="9"/>
    <col width="11" customWidth="1" style="48" min="10" max="10"/>
    <col width="11" customWidth="1" style="48" min="11" max="11"/>
    <col width="11" customWidth="1" style="48" min="12" max="12"/>
    <col width="11" customWidth="1" style="48" min="13" max="13"/>
    <col width="11" customWidth="1" style="48" min="14" max="14"/>
  </cols>
  <sheetData>
    <row r="1" ht="28" customHeight="1" s="48">
      <c r="A1" s="255" t="inlineStr">
        <is>
          <t>AI YouTube Content Pipeline｜项目总览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56" t="n"/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</row>
    <row r="3">
      <c r="A3" s="265" t="inlineStr">
        <is>
          <t>当前视频 ID</t>
        </is>
      </c>
      <c r="B3" s="266" t="inlineStr">
        <is>
          <t>YT-001</t>
        </is>
      </c>
      <c r="C3" s="26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N3" s="256" t="n"/>
    </row>
    <row r="4">
      <c r="A4" s="256" t="n"/>
      <c r="B4" s="256" t="n"/>
      <c r="C4" s="256" t="n"/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</row>
    <row r="5">
      <c r="A5" s="267" t="inlineStr">
        <is>
          <t>项目标题</t>
        </is>
      </c>
      <c r="B5" s="268" t="n"/>
      <c r="C5" s="268" t="n"/>
      <c r="D5" s="268" t="n"/>
      <c r="E5" s="269" t="inlineStr">
        <is>
          <t>当前状态</t>
        </is>
      </c>
      <c r="F5" s="270" t="n"/>
      <c r="G5" s="271" t="inlineStr">
        <is>
          <t>目标发布日期</t>
        </is>
      </c>
      <c r="H5" s="272" t="n"/>
      <c r="I5" s="273" t="inlineStr">
        <is>
          <t>总体完成度</t>
        </is>
      </c>
      <c r="J5" s="274" t="n"/>
      <c r="K5" s="275" t="inlineStr">
        <is>
          <t>逾期任务</t>
        </is>
      </c>
      <c r="L5" s="276" t="n"/>
      <c r="M5" s="277" t="inlineStr">
        <is>
          <t>素材就绪率</t>
        </is>
      </c>
      <c r="N5" s="278" t="n"/>
    </row>
    <row r="6">
      <c r="A6" s="279">
        <f>IFERROR(INDEX('视频项目'!$B$2:$B$51,MATCH($B$3,'视频项目'!$A$2:$A$51,0)),"未找到项目")</f>
        <v/>
      </c>
      <c r="B6" s="280" t="n"/>
      <c r="C6" s="280" t="n"/>
      <c r="D6" s="280" t="n"/>
      <c r="E6" s="279">
        <f>IFERROR(INDEX('视频项目'!$J$2:$J$51,MATCH($B$3,'视频项目'!$A$2:$A$51,0)),"")</f>
        <v/>
      </c>
      <c r="F6" s="280" t="n"/>
      <c r="G6" s="281">
        <f>IFERROR(INDEX('视频项目'!$N$2:$N$51,MATCH($B$3,'视频项目'!$A$2:$A$51,0)),"")</f>
        <v/>
      </c>
      <c r="H6" s="280" t="n"/>
      <c r="I6" s="282">
        <f>IFERROR(INDEX('视频项目'!$P$2:$P$51,MATCH($B$3,'视频项目'!$A$2:$A$51,0)),0)</f>
        <v/>
      </c>
      <c r="J6" s="280" t="n"/>
      <c r="K6" s="279">
        <f>COUNTIFS('任务计划'!$A$2:$A$500,$B$3,'任务计划'!$M$2:$M$500,"&lt;"&amp;TODAY(),'任务计划'!$H$2:$H$500,"&lt;&gt;已完成")</f>
        <v/>
      </c>
      <c r="L6" s="280" t="n"/>
      <c r="M6" s="282">
        <f>IFERROR(COUNTIFS('素材清单'!$A$2:$A$300,$B$3,'素材清单'!$J$2:$J$300,"已就绪")/COUNTIF('素材清单'!$A$2:$A$300,$B$3),0)</f>
        <v/>
      </c>
      <c r="N6" s="280" t="n"/>
    </row>
    <row r="7">
      <c r="A7" s="256" t="n"/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</row>
    <row r="8">
      <c r="A8" s="256" t="n"/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  <c r="N8" s="256" t="n"/>
    </row>
    <row r="9" ht="24" customHeight="1" s="48">
      <c r="A9" s="283" t="inlineStr">
        <is>
          <t>九阶段进度</t>
        </is>
      </c>
      <c r="B9" s="283" t="n"/>
      <c r="C9" s="283" t="n"/>
      <c r="D9" s="283" t="n"/>
      <c r="E9" s="283" t="n"/>
      <c r="F9" s="283" t="n"/>
      <c r="G9" s="283" t="n"/>
      <c r="H9" s="256" t="n"/>
      <c r="I9" s="283" t="inlineStr">
        <is>
          <t>本周行动</t>
        </is>
      </c>
      <c r="J9" s="283" t="n"/>
      <c r="K9" s="283" t="n"/>
      <c r="L9" s="283" t="n"/>
      <c r="M9" s="283" t="n"/>
      <c r="N9" s="283" t="n"/>
    </row>
    <row r="10" ht="24" customHeight="1" s="48">
      <c r="A10" s="259" t="inlineStr">
        <is>
          <t>阶段序号</t>
        </is>
      </c>
      <c r="B10" s="259" t="inlineStr">
        <is>
          <t>阶段</t>
        </is>
      </c>
      <c r="C10" s="259" t="inlineStr">
        <is>
          <t>任务数</t>
        </is>
      </c>
      <c r="D10" s="259" t="inlineStr">
        <is>
          <t>已完成</t>
        </is>
      </c>
      <c r="E10" s="259" t="inlineStr">
        <is>
          <t>阶段完成度</t>
        </is>
      </c>
      <c r="F10" s="259" t="inlineStr">
        <is>
          <t>当前阻塞</t>
        </is>
      </c>
      <c r="G10" s="259" t="inlineStr">
        <is>
          <t>下一截止日</t>
        </is>
      </c>
      <c r="H10" s="256" t="n"/>
      <c r="I10" s="259" t="inlineStr">
        <is>
          <t>优先级</t>
        </is>
      </c>
      <c r="J10" s="259" t="inlineStr">
        <is>
          <t>阶段</t>
        </is>
      </c>
      <c r="K10" s="259" t="inlineStr">
        <is>
          <t>任务</t>
        </is>
      </c>
      <c r="L10" s="259" t="inlineStr">
        <is>
          <t>负责人</t>
        </is>
      </c>
      <c r="M10" s="259" t="inlineStr">
        <is>
          <t>截止日期</t>
        </is>
      </c>
      <c r="N10" s="259" t="inlineStr">
        <is>
          <t>状态</t>
        </is>
      </c>
    </row>
    <row r="11" ht="22" customHeight="1" s="48">
      <c r="A11" s="261" t="n">
        <v>1</v>
      </c>
      <c r="B11" s="261" t="inlineStr">
        <is>
          <t>① 选题 Discover</t>
        </is>
      </c>
      <c r="C11" s="261">
        <f>COUNTIFS('任务计划'!$A$2:$A$500,$B$3,'任务计划'!$C$2:$C$500,$A11)</f>
        <v/>
      </c>
      <c r="D11" s="261">
        <f>COUNTIFS('任务计划'!$A$2:$A$500,$B$3,'任务计划'!$C$2:$C$500,$A11,'任务计划'!$H$2:$H$500,"已完成")</f>
        <v/>
      </c>
      <c r="E11" s="284">
        <f>IFERROR(D11/C11,0)</f>
        <v/>
      </c>
      <c r="F11" s="261">
        <f>COUNTIFS('任务计划'!$A$2:$A$500,$B$3,'任务计划'!$C$2:$C$500,$A11,'任务计划'!$H$2:$H$500,"已阻塞")</f>
        <v/>
      </c>
      <c r="G11" s="285">
        <f>IFERROR(MINIFS('任务计划'!$M$2:$M$500,'任务计划'!$A$2:$A$500,$B$3,'任务计划'!$C$2:$C$500,$A11,'任务计划'!$H$2:$H$500,"&lt;&gt;已完成"),"")</f>
        <v/>
      </c>
      <c r="H11" s="261" t="n"/>
      <c r="I11" s="261" t="inlineStr">
        <is>
          <t>P0</t>
        </is>
      </c>
      <c r="J11" s="261" t="inlineStr">
        <is>
          <t>Research</t>
        </is>
      </c>
      <c r="K11" s="261" t="inlineStr">
        <is>
          <t>完成核心资料与观点对比</t>
        </is>
      </c>
      <c r="L11" s="261" t="inlineStr">
        <is>
          <t>你</t>
        </is>
      </c>
      <c r="M11" s="285" t="inlineStr">
        <is>
          <t>2026-08-01</t>
        </is>
      </c>
      <c r="N11" s="261" t="inlineStr">
        <is>
          <t>进行中</t>
        </is>
      </c>
    </row>
    <row r="12" ht="22" customHeight="1" s="48">
      <c r="A12" s="260" t="n">
        <v>2</v>
      </c>
      <c r="B12" s="260" t="inlineStr">
        <is>
          <t>② 研究 Research</t>
        </is>
      </c>
      <c r="C12" s="260">
        <f>COUNTIFS('任务计划'!$A$2:$A$500,$B$3,'任务计划'!$C$2:$C$500,$A12)</f>
        <v/>
      </c>
      <c r="D12" s="260">
        <f>COUNTIFS('任务计划'!$A$2:$A$500,$B$3,'任务计划'!$C$2:$C$500,$A12,'任务计划'!$H$2:$H$500,"已完成")</f>
        <v/>
      </c>
      <c r="E12" s="286">
        <f>IFERROR(D12/C12,0)</f>
        <v/>
      </c>
      <c r="F12" s="260">
        <f>COUNTIFS('任务计划'!$A$2:$A$500,$B$3,'任务计划'!$C$2:$C$500,$A12,'任务计划'!$H$2:$H$500,"已阻塞")</f>
        <v/>
      </c>
      <c r="G12" s="287">
        <f>IFERROR(MINIFS('任务计划'!$M$2:$M$500,'任务计划'!$A$2:$A$500,$B$3,'任务计划'!$C$2:$C$500,$A12,'任务计划'!$H$2:$H$500,"&lt;&gt;已完成"),"")</f>
        <v/>
      </c>
      <c r="H12" s="260" t="n"/>
      <c r="I12" s="260" t="inlineStr">
        <is>
          <t>P0</t>
        </is>
      </c>
      <c r="J12" s="260" t="inlineStr">
        <is>
          <t>Script</t>
        </is>
      </c>
      <c r="K12" s="260" t="inlineStr">
        <is>
          <t>确定 Hook 与三幕结构</t>
        </is>
      </c>
      <c r="L12" s="260" t="inlineStr">
        <is>
          <t>你 + AI</t>
        </is>
      </c>
      <c r="M12" s="287" t="inlineStr">
        <is>
          <t>2026-08-03</t>
        </is>
      </c>
      <c r="N12" s="260" t="inlineStr">
        <is>
          <t>未开始</t>
        </is>
      </c>
    </row>
    <row r="13" ht="22" customHeight="1" s="48">
      <c r="A13" s="261" t="n">
        <v>3</v>
      </c>
      <c r="B13" s="261" t="inlineStr">
        <is>
          <t>③ 脚本 Script</t>
        </is>
      </c>
      <c r="C13" s="261">
        <f>COUNTIFS('任务计划'!$A$2:$A$500,$B$3,'任务计划'!$C$2:$C$500,$A13)</f>
        <v/>
      </c>
      <c r="D13" s="261">
        <f>COUNTIFS('任务计划'!$A$2:$A$500,$B$3,'任务计划'!$C$2:$C$500,$A13,'任务计划'!$H$2:$H$500,"已完成")</f>
        <v/>
      </c>
      <c r="E13" s="284">
        <f>IFERROR(D13/C13,0)</f>
        <v/>
      </c>
      <c r="F13" s="261">
        <f>COUNTIFS('任务计划'!$A$2:$A$500,$B$3,'任务计划'!$C$2:$C$500,$A13,'任务计划'!$H$2:$H$500,"已阻塞")</f>
        <v/>
      </c>
      <c r="G13" s="285">
        <f>IFERROR(MINIFS('任务计划'!$M$2:$M$500,'任务计划'!$A$2:$A$500,$B$3,'任务计划'!$C$2:$C$500,$A13,'任务计划'!$H$2:$H$500,"&lt;&gt;已完成"),"")</f>
        <v/>
      </c>
      <c r="H13" s="261" t="n"/>
      <c r="I13" s="261" t="inlineStr">
        <is>
          <t>P1</t>
        </is>
      </c>
      <c r="J13" s="261" t="inlineStr">
        <is>
          <t>Assets</t>
        </is>
      </c>
      <c r="K13" s="261" t="inlineStr">
        <is>
          <t>建立 B-roll 与图表清单</t>
        </is>
      </c>
      <c r="L13" s="261" t="inlineStr">
        <is>
          <t>AI 草拟 / 你确认</t>
        </is>
      </c>
      <c r="M13" s="285" t="inlineStr">
        <is>
          <t>2026-08-05</t>
        </is>
      </c>
      <c r="N13" s="261" t="inlineStr">
        <is>
          <t>未开始</t>
        </is>
      </c>
    </row>
    <row r="14" ht="22" customHeight="1" s="48">
      <c r="A14" s="260" t="n">
        <v>4</v>
      </c>
      <c r="B14" s="260" t="inlineStr">
        <is>
          <t>④ 素材 Assets</t>
        </is>
      </c>
      <c r="C14" s="260">
        <f>COUNTIFS('任务计划'!$A$2:$A$500,$B$3,'任务计划'!$C$2:$C$500,$A14)</f>
        <v/>
      </c>
      <c r="D14" s="260">
        <f>COUNTIFS('任务计划'!$A$2:$A$500,$B$3,'任务计划'!$C$2:$C$500,$A14,'任务计划'!$H$2:$H$500,"已完成")</f>
        <v/>
      </c>
      <c r="E14" s="286">
        <f>IFERROR(D14/C14,0)</f>
        <v/>
      </c>
      <c r="F14" s="260">
        <f>COUNTIFS('任务计划'!$A$2:$A$500,$B$3,'任务计划'!$C$2:$C$500,$A14,'任务计划'!$H$2:$H$500,"已阻塞")</f>
        <v/>
      </c>
      <c r="G14" s="287">
        <f>IFERROR(MINIFS('任务计划'!$M$2:$M$500,'任务计划'!$A$2:$A$500,$B$3,'任务计划'!$C$2:$C$500,$A14,'任务计划'!$H$2:$H$500,"&lt;&gt;已完成"),"")</f>
        <v/>
      </c>
      <c r="H14" s="260" t="n"/>
      <c r="I14" s="260" t="inlineStr">
        <is>
          <t>P1</t>
        </is>
      </c>
      <c r="J14" s="260" t="inlineStr">
        <is>
          <t>Publish</t>
        </is>
      </c>
      <c r="K14" s="260" t="inlineStr">
        <is>
          <t>预留标题与缩略图 A/B 版本</t>
        </is>
      </c>
      <c r="L14" s="260" t="inlineStr">
        <is>
          <t>你 + AI</t>
        </is>
      </c>
      <c r="M14" s="287" t="inlineStr">
        <is>
          <t>2026-08-10</t>
        </is>
      </c>
      <c r="N14" s="260" t="inlineStr">
        <is>
          <t>未开始</t>
        </is>
      </c>
    </row>
    <row r="15" ht="22" customHeight="1" s="48">
      <c r="A15" s="261" t="n">
        <v>5</v>
      </c>
      <c r="B15" s="261" t="inlineStr">
        <is>
          <t>⑤ 剪辑 Edit</t>
        </is>
      </c>
      <c r="C15" s="261">
        <f>COUNTIFS('任务计划'!$A$2:$A$500,$B$3,'任务计划'!$C$2:$C$500,$A15)</f>
        <v/>
      </c>
      <c r="D15" s="261">
        <f>COUNTIFS('任务计划'!$A$2:$A$500,$B$3,'任务计划'!$C$2:$C$500,$A15,'任务计划'!$H$2:$H$500,"已完成")</f>
        <v/>
      </c>
      <c r="E15" s="284">
        <f>IFERROR(D15/C15,0)</f>
        <v/>
      </c>
      <c r="F15" s="261">
        <f>COUNTIFS('任务计划'!$A$2:$A$500,$B$3,'任务计划'!$C$2:$C$500,$A15,'任务计划'!$H$2:$H$500,"已阻塞")</f>
        <v/>
      </c>
      <c r="G15" s="285">
        <f>IFERROR(MINIFS('任务计划'!$M$2:$M$500,'任务计划'!$A$2:$A$500,$B$3,'任务计划'!$C$2:$C$500,$A15,'任务计划'!$H$2:$H$500,"&lt;&gt;已完成"),"")</f>
        <v/>
      </c>
      <c r="H15" s="261" t="n"/>
      <c r="I15" s="261" t="n"/>
      <c r="J15" s="261" t="n"/>
      <c r="K15" s="261" t="n"/>
      <c r="L15" s="261" t="n"/>
      <c r="M15" s="285" t="n"/>
      <c r="N15" s="261" t="n"/>
    </row>
    <row r="16" ht="22" customHeight="1" s="48">
      <c r="A16" s="260" t="n">
        <v>6</v>
      </c>
      <c r="B16" s="260" t="inlineStr">
        <is>
          <t>⑥ 特效 Motion</t>
        </is>
      </c>
      <c r="C16" s="260">
        <f>COUNTIFS('任务计划'!$A$2:$A$500,$B$3,'任务计划'!$C$2:$C$500,$A16)</f>
        <v/>
      </c>
      <c r="D16" s="260">
        <f>COUNTIFS('任务计划'!$A$2:$A$500,$B$3,'任务计划'!$C$2:$C$500,$A16,'任务计划'!$H$2:$H$500,"已完成")</f>
        <v/>
      </c>
      <c r="E16" s="286">
        <f>IFERROR(D16/C16,0)</f>
        <v/>
      </c>
      <c r="F16" s="260">
        <f>COUNTIFS('任务计划'!$A$2:$A$500,$B$3,'任务计划'!$C$2:$C$500,$A16,'任务计划'!$H$2:$H$500,"已阻塞")</f>
        <v/>
      </c>
      <c r="G16" s="287">
        <f>IFERROR(MINIFS('任务计划'!$M$2:$M$500,'任务计划'!$A$2:$A$500,$B$3,'任务计划'!$C$2:$C$500,$A16,'任务计划'!$H$2:$H$500,"&lt;&gt;已完成"),"")</f>
        <v/>
      </c>
      <c r="H16" s="260" t="n"/>
      <c r="I16" s="260" t="inlineStr">
        <is>
          <t>当前项目定义</t>
        </is>
      </c>
      <c r="J16" s="260" t="n"/>
      <c r="K16" s="260" t="n"/>
      <c r="L16" s="260" t="n"/>
      <c r="M16" s="287" t="n"/>
      <c r="N16" s="260" t="n"/>
    </row>
    <row r="17" ht="22" customHeight="1" s="48">
      <c r="A17" s="261" t="n">
        <v>7</v>
      </c>
      <c r="B17" s="261" t="inlineStr">
        <is>
          <t>⑦ 后期 Post</t>
        </is>
      </c>
      <c r="C17" s="261">
        <f>COUNTIFS('任务计划'!$A$2:$A$500,$B$3,'任务计划'!$C$2:$C$500,$A17)</f>
        <v/>
      </c>
      <c r="D17" s="261">
        <f>COUNTIFS('任务计划'!$A$2:$A$500,$B$3,'任务计划'!$C$2:$C$500,$A17,'任务计划'!$H$2:$H$500,"已完成")</f>
        <v/>
      </c>
      <c r="E17" s="284">
        <f>IFERROR(D17/C17,0)</f>
        <v/>
      </c>
      <c r="F17" s="261">
        <f>COUNTIFS('任务计划'!$A$2:$A$500,$B$3,'任务计划'!$C$2:$C$500,$A17,'任务计划'!$H$2:$H$500,"已阻塞")</f>
        <v/>
      </c>
      <c r="G17" s="285">
        <f>IFERROR(MINIFS('任务计划'!$M$2:$M$500,'任务计划'!$A$2:$A$500,$B$3,'任务计划'!$C$2:$C$500,$A17,'任务计划'!$H$2:$H$500,"&lt;&gt;已完成"),"")</f>
        <v/>
      </c>
      <c r="H17" s="261" t="n"/>
      <c r="I17" s="261" t="inlineStr">
        <is>
          <t>目标受众</t>
        </is>
      </c>
      <c r="J17" s="261">
        <f>IFERROR(INDEX('视频项目'!$G$2:$G$51,MATCH($B$3,'视频项目'!$A$2:$A$51,0)),"")</f>
        <v/>
      </c>
      <c r="K17" s="261" t="n"/>
      <c r="L17" s="261" t="n"/>
      <c r="M17" s="285" t="n"/>
      <c r="N17" s="261" t="n"/>
    </row>
    <row r="18" ht="22" customHeight="1" s="48">
      <c r="A18" s="260" t="n">
        <v>8</v>
      </c>
      <c r="B18" s="260" t="inlineStr">
        <is>
          <t>⑧ 发布 Publish</t>
        </is>
      </c>
      <c r="C18" s="260">
        <f>COUNTIFS('任务计划'!$A$2:$A$500,$B$3,'任务计划'!$C$2:$C$500,$A18)</f>
        <v/>
      </c>
      <c r="D18" s="260">
        <f>COUNTIFS('任务计划'!$A$2:$A$500,$B$3,'任务计划'!$C$2:$C$500,$A18,'任务计划'!$H$2:$H$500,"已完成")</f>
        <v/>
      </c>
      <c r="E18" s="286">
        <f>IFERROR(D18/C18,0)</f>
        <v/>
      </c>
      <c r="F18" s="260">
        <f>COUNTIFS('任务计划'!$A$2:$A$500,$B$3,'任务计划'!$C$2:$C$500,$A18,'任务计划'!$H$2:$H$500,"已阻塞")</f>
        <v/>
      </c>
      <c r="G18" s="287">
        <f>IFERROR(MINIFS('任务计划'!$M$2:$M$500,'任务计划'!$A$2:$A$500,$B$3,'任务计划'!$C$2:$C$500,$A18,'任务计划'!$H$2:$H$500,"&lt;&gt;已完成"),"")</f>
        <v/>
      </c>
      <c r="H18" s="260" t="n"/>
      <c r="I18" s="260" t="inlineStr">
        <is>
          <t>核心承诺</t>
        </is>
      </c>
      <c r="J18" s="260">
        <f>IFERROR(INDEX('视频项目'!$H$2:$H$51,MATCH($B$3,'视频项目'!$A$2:$A$51,0)),"")</f>
        <v/>
      </c>
      <c r="K18" s="260" t="n"/>
      <c r="L18" s="260" t="n"/>
      <c r="M18" s="287" t="n"/>
      <c r="N18" s="260" t="n"/>
    </row>
    <row r="19" ht="22" customHeight="1" s="48">
      <c r="A19" s="261" t="n">
        <v>9</v>
      </c>
      <c r="B19" s="261" t="inlineStr">
        <is>
          <t>⑨ 复盘 Optimize</t>
        </is>
      </c>
      <c r="C19" s="261">
        <f>COUNTIFS('任务计划'!$A$2:$A$500,$B$3,'任务计划'!$C$2:$C$500,$A19)</f>
        <v/>
      </c>
      <c r="D19" s="261">
        <f>COUNTIFS('任务计划'!$A$2:$A$500,$B$3,'任务计划'!$C$2:$C$500,$A19,'任务计划'!$H$2:$H$500,"已完成")</f>
        <v/>
      </c>
      <c r="E19" s="284">
        <f>IFERROR(D19/C19,0)</f>
        <v/>
      </c>
      <c r="F19" s="261">
        <f>COUNTIFS('任务计划'!$A$2:$A$500,$B$3,'任务计划'!$C$2:$C$500,$A19,'任务计划'!$H$2:$H$500,"已阻塞")</f>
        <v/>
      </c>
      <c r="G19" s="285">
        <f>IFERROR(MINIFS('任务计划'!$M$2:$M$500,'任务计划'!$A$2:$A$500,$B$3,'任务计划'!$C$2:$C$500,$A19,'任务计划'!$H$2:$H$500,"&lt;&gt;已完成"),"")</f>
        <v/>
      </c>
      <c r="H19" s="261" t="n"/>
      <c r="I19" s="261" t="inlineStr">
        <is>
          <t>内容支柱</t>
        </is>
      </c>
      <c r="J19" s="261">
        <f>IFERROR(INDEX('视频项目'!$D$2:$D$51,MATCH($B$3,'视频项目'!$A$2:$A$51,0)),"")</f>
        <v/>
      </c>
      <c r="K19" s="261" t="n"/>
      <c r="L19" s="261" t="n"/>
      <c r="M19" s="285" t="n"/>
      <c r="N19" s="261" t="n"/>
    </row>
    <row r="20" ht="22" customHeight="1" s="48">
      <c r="A20" s="260" t="n"/>
      <c r="B20" s="260" t="n"/>
      <c r="C20" s="260" t="n"/>
      <c r="D20" s="260" t="n"/>
      <c r="E20" s="260" t="n"/>
      <c r="F20" s="260" t="n"/>
      <c r="G20" s="260" t="n"/>
      <c r="H20" s="260" t="n"/>
      <c r="I20" s="260" t="inlineStr">
        <is>
          <t>预计时长</t>
        </is>
      </c>
      <c r="J20" s="260">
        <f>IFERROR(INDEX('视频项目'!$F$2:$F$51,MATCH($B$3,'视频项目'!$A$2:$A$51,0)),"")</f>
        <v/>
      </c>
      <c r="K20" s="260" t="n"/>
      <c r="L20" s="260" t="n"/>
      <c r="M20" s="287" t="n"/>
      <c r="N20" s="260" t="n"/>
    </row>
  </sheetData>
  <mergeCells count="23">
    <mergeCell ref="A5:D5"/>
    <mergeCell ref="J17:N17"/>
    <mergeCell ref="E6:F7"/>
    <mergeCell ref="G6:H7"/>
    <mergeCell ref="M6:N7"/>
    <mergeCell ref="B3:C3"/>
    <mergeCell ref="C5:D5"/>
    <mergeCell ref="E5:F5"/>
    <mergeCell ref="K5:L5"/>
    <mergeCell ref="M5:N5"/>
    <mergeCell ref="J19:N19"/>
    <mergeCell ref="A6:D7"/>
    <mergeCell ref="A1:N1"/>
    <mergeCell ref="A9:G9"/>
    <mergeCell ref="I6:J7"/>
    <mergeCell ref="J20:N20"/>
    <mergeCell ref="K6:L7"/>
    <mergeCell ref="A5:B5"/>
    <mergeCell ref="G5:H5"/>
    <mergeCell ref="I9:N9"/>
    <mergeCell ref="I5:J5"/>
    <mergeCell ref="J18:N18"/>
    <mergeCell ref="I16:N16"/>
  </mergeCells>
  <conditionalFormatting sqref="E11:E19">
    <cfRule type="dataBar" priority="1">
      <dataBar>
        <cfvo type="min"/>
        <cfvo type="max"/>
        <color rgb="FF2F6BFF"/>
      </dataBar>
    </cfRule>
  </conditionalFormatting>
  <conditionalFormatting sqref="F11:F19">
    <cfRule type="cellIs" priority="2" operator="greaterThan" dxfId="0">
      <formula>0</formula>
    </cfRule>
  </conditionalFormatting>
  <dataValidations count="1">
    <dataValidation sqref="B3" showDropDown="0" showInputMessage="0" showErrorMessage="0" allowBlank="0" type="list">
      <formula1>'视频项目'!$A$2:$A$51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R6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48" min="1" max="1"/>
    <col width="28" customWidth="1" style="48" min="2" max="2"/>
    <col width="14" customWidth="1" style="48" min="3" max="3"/>
    <col width="12" customWidth="1" style="48" min="4" max="4"/>
    <col width="12" customWidth="1" style="48" min="5" max="5"/>
    <col width="12" customWidth="1" style="48" min="6" max="6"/>
    <col width="12" customWidth="1" style="48" min="7" max="7"/>
    <col width="12" customWidth="1" style="48" min="8" max="8"/>
    <col width="12" customWidth="1" style="48" min="9" max="9"/>
    <col width="12" customWidth="1" style="48" min="10" max="10"/>
    <col width="22" customWidth="1" style="48" min="11" max="11"/>
    <col width="10" customWidth="1" style="48" min="12" max="12"/>
    <col width="12" customWidth="1" style="48" min="13" max="13"/>
    <col width="12" customWidth="1" style="48" min="14" max="14"/>
    <col width="12" customWidth="1" style="48" min="15" max="15"/>
    <col width="12" customWidth="1" style="48" min="16" max="16"/>
    <col width="12" customWidth="1" style="48" min="17" max="17"/>
    <col width="18" customWidth="1" style="48" min="18" max="18"/>
  </cols>
  <sheetData>
    <row r="1" ht="28" customHeight="1" s="48">
      <c r="A1" s="255" t="inlineStr">
        <is>
          <t>选题池｜Discover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0" customHeight="1" s="48">
      <c r="A2" s="256" t="n"/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  <c r="O2" s="256" t="n"/>
      <c r="P2" s="256" t="n"/>
      <c r="Q2" s="256" t="n"/>
      <c r="R2" s="256" t="n"/>
    </row>
    <row r="3" ht="24" customHeight="1" s="48">
      <c r="A3" s="259" t="inlineStr">
        <is>
          <t>Topic ID</t>
        </is>
      </c>
      <c r="B3" s="259" t="inlineStr">
        <is>
          <t>候选选题</t>
        </is>
      </c>
      <c r="C3" s="259" t="inlineStr">
        <is>
          <t>内容支柱</t>
        </is>
      </c>
      <c r="D3" s="259" t="inlineStr">
        <is>
          <t>趋势信号(1-10)</t>
        </is>
      </c>
      <c r="E3" s="259" t="inlineStr">
        <is>
          <t>受众需求(1-10)</t>
        </is>
      </c>
      <c r="F3" s="259" t="inlineStr">
        <is>
          <t>竞争空间(1-10)</t>
        </is>
      </c>
      <c r="G3" s="259" t="inlineStr">
        <is>
          <t>差异化(1-10)</t>
        </is>
      </c>
      <c r="H3" s="259" t="inlineStr">
        <is>
          <t>视觉潜力(1-10)</t>
        </is>
      </c>
      <c r="I3" s="259" t="inlineStr">
        <is>
          <t>常青价值(1-10)</t>
        </is>
      </c>
      <c r="J3" s="259" t="inlineStr">
        <is>
          <t>商业匹配(1-10)</t>
        </is>
      </c>
      <c r="K3" s="259" t="inlineStr">
        <is>
          <t>证据/竞品链接</t>
        </is>
      </c>
      <c r="L3" s="259" t="inlineStr">
        <is>
          <t>总分</t>
        </is>
      </c>
      <c r="M3" s="259" t="inlineStr">
        <is>
          <t>建议决策</t>
        </is>
      </c>
      <c r="N3" s="259" t="inlineStr">
        <is>
          <t>目标形式</t>
        </is>
      </c>
      <c r="O3" s="259" t="inlineStr">
        <is>
          <t>预计时长(分钟)</t>
        </is>
      </c>
      <c r="P3" s="259" t="inlineStr">
        <is>
          <t>提出日期</t>
        </is>
      </c>
      <c r="Q3" s="259" t="inlineStr">
        <is>
          <t>最后更新</t>
        </is>
      </c>
      <c r="R3" s="259" t="inlineStr">
        <is>
          <t>备注</t>
        </is>
      </c>
    </row>
    <row r="4" ht="22" customHeight="1" s="48">
      <c r="A4" s="260" t="inlineStr">
        <is>
          <t>TOP-001</t>
        </is>
      </c>
      <c r="B4" s="260" t="inlineStr">
        <is>
          <t>未来不是冷冰冰的：温柔科技城市的一天</t>
        </is>
      </c>
      <c r="C4" s="260" t="inlineStr">
        <is>
          <t>未来生活</t>
        </is>
      </c>
      <c r="D4" s="260" t="inlineStr">
        <is>
          <t>8</t>
        </is>
      </c>
      <c r="E4" s="260" t="inlineStr">
        <is>
          <t>8</t>
        </is>
      </c>
      <c r="F4" s="260" t="inlineStr">
        <is>
          <t>7</t>
        </is>
      </c>
      <c r="G4" s="260" t="inlineStr">
        <is>
          <t>9</t>
        </is>
      </c>
      <c r="H4" s="260" t="inlineStr">
        <is>
          <t>10</t>
        </is>
      </c>
      <c r="I4" s="260" t="inlineStr">
        <is>
          <t>8</t>
        </is>
      </c>
      <c r="J4" s="260" t="inlineStr">
        <is>
          <t>6</t>
        </is>
      </c>
      <c r="K4" s="260" t="inlineStr">
        <is>
          <t>https://www.youtube.com/</t>
        </is>
      </c>
      <c r="L4" s="260">
        <f>ROUND(D4*0.15+E4*0.20+F4*0.15+G4*0.20+H4*0.15+I4*0.10+J4*0.05,1)</f>
        <v/>
      </c>
      <c r="M4" s="260" t="inlineStr">
        <is>
          <t>进入制作</t>
        </is>
      </c>
      <c r="N4" s="260" t="inlineStr">
        <is>
          <t>视觉散文</t>
        </is>
      </c>
      <c r="O4" s="260" t="n">
        <v>8</v>
      </c>
      <c r="P4" s="287" t="n">
        <v>46233</v>
      </c>
      <c r="Q4" s="287" t="n">
        <v>46233</v>
      </c>
      <c r="R4" s="260" t="inlineStr">
        <is>
          <t>示例：替换成你的真实选题</t>
        </is>
      </c>
    </row>
    <row r="5" ht="22" customHeight="1" s="48">
      <c r="A5" s="261" t="inlineStr">
        <is>
          <t>TOP-002</t>
        </is>
      </c>
      <c r="B5" s="261" t="inlineStr">
        <is>
          <t>AI 时代，人类主导创作与 AI 主导生成的差异</t>
        </is>
      </c>
      <c r="C5" s="261" t="inlineStr">
        <is>
          <t>AI 与创作</t>
        </is>
      </c>
      <c r="D5" s="261" t="inlineStr">
        <is>
          <t>9</t>
        </is>
      </c>
      <c r="E5" s="261" t="inlineStr">
        <is>
          <t>8</t>
        </is>
      </c>
      <c r="F5" s="261" t="inlineStr">
        <is>
          <t>6</t>
        </is>
      </c>
      <c r="G5" s="261" t="inlineStr">
        <is>
          <t>8</t>
        </is>
      </c>
      <c r="H5" s="261" t="inlineStr">
        <is>
          <t>8</t>
        </is>
      </c>
      <c r="I5" s="261" t="inlineStr">
        <is>
          <t>7</t>
        </is>
      </c>
      <c r="J5" s="261" t="inlineStr">
        <is>
          <t>8</t>
        </is>
      </c>
      <c r="K5" s="261" t="inlineStr">
        <is>
          <t>https://www.reddit.com/</t>
        </is>
      </c>
      <c r="L5" s="261">
        <f>ROUND(D5*0.15+E5*0.20+F5*0.15+G5*0.20+H5*0.15+I5*0.10+J5*0.05,1)</f>
        <v/>
      </c>
      <c r="M5" s="261" t="inlineStr">
        <is>
          <t>继续研究</t>
        </is>
      </c>
      <c r="N5" s="261" t="inlineStr">
        <is>
          <t>观点型视频</t>
        </is>
      </c>
      <c r="O5" s="261" t="n">
        <v>10</v>
      </c>
      <c r="P5" s="285" t="n">
        <v>46233</v>
      </c>
      <c r="Q5" s="285" t="n">
        <v>46233</v>
      </c>
      <c r="R5" s="261" t="inlineStr">
        <is>
          <t>需要补充真实案例</t>
        </is>
      </c>
    </row>
    <row r="6" ht="22" customHeight="1" s="48">
      <c r="A6" s="260" t="str"/>
      <c r="B6" s="260" t="str"/>
      <c r="C6" s="260" t="str"/>
      <c r="D6" s="260" t="str"/>
      <c r="E6" s="260" t="str"/>
      <c r="F6" s="260" t="str"/>
      <c r="G6" s="260" t="str"/>
      <c r="H6" s="260" t="str"/>
      <c r="I6" s="260" t="str"/>
      <c r="J6" s="260" t="str"/>
      <c r="K6" s="260" t="str"/>
      <c r="L6" s="260" t="str"/>
      <c r="M6" s="260" t="str"/>
      <c r="N6" s="260" t="str"/>
      <c r="O6" s="260" t="str"/>
      <c r="P6" s="287" t="str"/>
      <c r="Q6" s="287" t="str"/>
      <c r="R6" s="260" t="str"/>
    </row>
    <row r="7" ht="22" customHeight="1" s="48">
      <c r="A7" s="261" t="str"/>
      <c r="B7" s="261" t="str"/>
      <c r="C7" s="261" t="str"/>
      <c r="D7" s="261" t="str"/>
      <c r="E7" s="261" t="str"/>
      <c r="F7" s="261" t="str"/>
      <c r="G7" s="261" t="str"/>
      <c r="H7" s="261" t="str"/>
      <c r="I7" s="261" t="str"/>
      <c r="J7" s="261" t="str"/>
      <c r="K7" s="261" t="str"/>
      <c r="L7" s="261" t="str"/>
      <c r="M7" s="261" t="str"/>
      <c r="N7" s="261" t="str"/>
      <c r="O7" s="261" t="str"/>
      <c r="P7" s="285" t="str"/>
      <c r="Q7" s="285" t="str"/>
      <c r="R7" s="261" t="str"/>
    </row>
    <row r="8" ht="22" customHeight="1" s="48">
      <c r="A8" s="260" t="str"/>
      <c r="B8" s="260" t="str"/>
      <c r="C8" s="260" t="str"/>
      <c r="D8" s="260" t="str"/>
      <c r="E8" s="260" t="str"/>
      <c r="F8" s="260" t="str"/>
      <c r="G8" s="260" t="str"/>
      <c r="H8" s="260" t="str"/>
      <c r="I8" s="260" t="str"/>
      <c r="J8" s="260" t="str"/>
      <c r="K8" s="260" t="str"/>
      <c r="L8" s="260" t="str"/>
      <c r="M8" s="260" t="str"/>
      <c r="N8" s="260" t="str"/>
      <c r="O8" s="260" t="str"/>
      <c r="P8" s="287" t="str"/>
      <c r="Q8" s="287" t="str"/>
      <c r="R8" s="260" t="str"/>
    </row>
    <row r="9" ht="22" customHeight="1" s="48">
      <c r="A9" s="261" t="str"/>
      <c r="B9" s="261" t="str"/>
      <c r="C9" s="261" t="str"/>
      <c r="D9" s="261" t="str"/>
      <c r="E9" s="261" t="str"/>
      <c r="F9" s="261" t="str"/>
      <c r="G9" s="261" t="str"/>
      <c r="H9" s="261" t="str"/>
      <c r="I9" s="261" t="str"/>
      <c r="J9" s="261" t="str"/>
      <c r="K9" s="261" t="str"/>
      <c r="L9" s="261" t="str"/>
      <c r="M9" s="261" t="str"/>
      <c r="N9" s="261" t="str"/>
      <c r="O9" s="261" t="str"/>
      <c r="P9" s="285" t="str"/>
      <c r="Q9" s="285" t="str"/>
      <c r="R9" s="261" t="str"/>
    </row>
    <row r="10" ht="22" customHeight="1" s="48">
      <c r="A10" s="260" t="str"/>
      <c r="B10" s="260" t="str"/>
      <c r="C10" s="260" t="str"/>
      <c r="D10" s="260" t="str"/>
      <c r="E10" s="260" t="str"/>
      <c r="F10" s="260" t="str"/>
      <c r="G10" s="260" t="str"/>
      <c r="H10" s="260" t="str"/>
      <c r="I10" s="260" t="str"/>
      <c r="J10" s="260" t="str"/>
      <c r="K10" s="260" t="str"/>
      <c r="L10" s="260" t="str"/>
      <c r="M10" s="260" t="str"/>
      <c r="N10" s="260" t="str"/>
      <c r="O10" s="260" t="str"/>
      <c r="P10" s="287" t="str"/>
      <c r="Q10" s="287" t="str"/>
      <c r="R10" s="260" t="str"/>
    </row>
    <row r="11" ht="22" customHeight="1" s="48">
      <c r="A11" s="261" t="str"/>
      <c r="B11" s="261" t="str"/>
      <c r="C11" s="261" t="str"/>
      <c r="D11" s="261" t="str"/>
      <c r="E11" s="261" t="str"/>
      <c r="F11" s="261" t="str"/>
      <c r="G11" s="261" t="str"/>
      <c r="H11" s="261" t="str"/>
      <c r="I11" s="261" t="str"/>
      <c r="J11" s="261" t="str"/>
      <c r="K11" s="261" t="str"/>
      <c r="L11" s="261" t="str"/>
      <c r="M11" s="261" t="str"/>
      <c r="N11" s="261" t="str"/>
      <c r="O11" s="261" t="str"/>
      <c r="P11" s="285" t="str"/>
      <c r="Q11" s="285" t="str"/>
      <c r="R11" s="261" t="str"/>
    </row>
    <row r="12" ht="22" customHeight="1" s="48">
      <c r="A12" s="260" t="str"/>
      <c r="B12" s="260" t="str"/>
      <c r="C12" s="260" t="str"/>
      <c r="D12" s="260" t="str"/>
      <c r="E12" s="260" t="str"/>
      <c r="F12" s="260" t="str"/>
      <c r="G12" s="260" t="str"/>
      <c r="H12" s="260" t="str"/>
      <c r="I12" s="260" t="str"/>
      <c r="J12" s="260" t="str"/>
      <c r="K12" s="260" t="str"/>
      <c r="L12" s="260" t="str"/>
      <c r="M12" s="260" t="str"/>
      <c r="N12" s="260" t="str"/>
      <c r="O12" s="260" t="str"/>
      <c r="P12" s="287" t="str"/>
      <c r="Q12" s="287" t="str"/>
      <c r="R12" s="260" t="str"/>
    </row>
    <row r="13" ht="22" customHeight="1" s="48">
      <c r="A13" s="261" t="str"/>
      <c r="B13" s="261" t="str"/>
      <c r="C13" s="261" t="str"/>
      <c r="D13" s="261" t="str"/>
      <c r="E13" s="261" t="str"/>
      <c r="F13" s="261" t="str"/>
      <c r="G13" s="261" t="str"/>
      <c r="H13" s="261" t="str"/>
      <c r="I13" s="261" t="str"/>
      <c r="J13" s="261" t="str"/>
      <c r="K13" s="261" t="str"/>
      <c r="L13" s="261" t="str"/>
      <c r="M13" s="261" t="str"/>
      <c r="N13" s="261" t="str"/>
      <c r="O13" s="261" t="str"/>
      <c r="P13" s="285" t="str"/>
      <c r="Q13" s="285" t="str"/>
      <c r="R13" s="261" t="str"/>
    </row>
    <row r="14" ht="22" customHeight="1" s="48">
      <c r="A14" s="260" t="str"/>
      <c r="B14" s="260" t="str"/>
      <c r="C14" s="260" t="str"/>
      <c r="D14" s="260" t="str"/>
      <c r="E14" s="260" t="str"/>
      <c r="F14" s="260" t="str"/>
      <c r="G14" s="260" t="str"/>
      <c r="H14" s="260" t="str"/>
      <c r="I14" s="260" t="str"/>
      <c r="J14" s="260" t="str"/>
      <c r="K14" s="260" t="str"/>
      <c r="L14" s="260" t="str"/>
      <c r="M14" s="260" t="str"/>
      <c r="N14" s="260" t="str"/>
      <c r="O14" s="260" t="str"/>
      <c r="P14" s="287" t="str"/>
      <c r="Q14" s="287" t="str"/>
      <c r="R14" s="260" t="str"/>
    </row>
    <row r="15" ht="22" customHeight="1" s="48">
      <c r="A15" s="261" t="str"/>
      <c r="B15" s="261" t="str"/>
      <c r="C15" s="261" t="str"/>
      <c r="D15" s="261" t="str"/>
      <c r="E15" s="261" t="str"/>
      <c r="F15" s="261" t="str"/>
      <c r="G15" s="261" t="str"/>
      <c r="H15" s="261" t="str"/>
      <c r="I15" s="261" t="str"/>
      <c r="J15" s="261" t="str"/>
      <c r="K15" s="261" t="str"/>
      <c r="L15" s="261" t="str"/>
      <c r="M15" s="261" t="str"/>
      <c r="N15" s="261" t="str"/>
      <c r="O15" s="261" t="str"/>
      <c r="P15" s="285" t="str"/>
      <c r="Q15" s="285" t="str"/>
      <c r="R15" s="261" t="str"/>
    </row>
    <row r="16" ht="22" customHeight="1" s="48">
      <c r="A16" s="260" t="str"/>
      <c r="B16" s="260" t="str"/>
      <c r="C16" s="260" t="str"/>
      <c r="D16" s="260" t="str"/>
      <c r="E16" s="260" t="str"/>
      <c r="F16" s="260" t="str"/>
      <c r="G16" s="260" t="str"/>
      <c r="H16" s="260" t="str"/>
      <c r="I16" s="260" t="str"/>
      <c r="J16" s="260" t="str"/>
      <c r="K16" s="260" t="str"/>
      <c r="L16" s="260" t="str"/>
      <c r="M16" s="260" t="str"/>
      <c r="N16" s="260" t="str"/>
      <c r="O16" s="260" t="str"/>
      <c r="P16" s="287" t="str"/>
      <c r="Q16" s="287" t="str"/>
      <c r="R16" s="260" t="str"/>
    </row>
    <row r="17" ht="22" customHeight="1" s="48">
      <c r="A17" s="261" t="str"/>
      <c r="B17" s="261" t="str"/>
      <c r="C17" s="261" t="str"/>
      <c r="D17" s="261" t="str"/>
      <c r="E17" s="261" t="str"/>
      <c r="F17" s="261" t="str"/>
      <c r="G17" s="261" t="str"/>
      <c r="H17" s="261" t="str"/>
      <c r="I17" s="261" t="str"/>
      <c r="J17" s="261" t="str"/>
      <c r="K17" s="261" t="str"/>
      <c r="L17" s="261" t="str"/>
      <c r="M17" s="261" t="str"/>
      <c r="N17" s="261" t="str"/>
      <c r="O17" s="261" t="str"/>
      <c r="P17" s="285" t="str"/>
      <c r="Q17" s="285" t="str"/>
      <c r="R17" s="261" t="str"/>
    </row>
    <row r="18" ht="22" customHeight="1" s="48">
      <c r="A18" s="260" t="str"/>
      <c r="B18" s="260" t="str"/>
      <c r="C18" s="260" t="str"/>
      <c r="D18" s="260" t="str"/>
      <c r="E18" s="260" t="str"/>
      <c r="F18" s="260" t="str"/>
      <c r="G18" s="260" t="str"/>
      <c r="H18" s="260" t="str"/>
      <c r="I18" s="260" t="str"/>
      <c r="J18" s="260" t="str"/>
      <c r="K18" s="260" t="str"/>
      <c r="L18" s="260" t="str"/>
      <c r="M18" s="260" t="str"/>
      <c r="N18" s="260" t="str"/>
      <c r="O18" s="260" t="str"/>
      <c r="P18" s="287" t="str"/>
      <c r="Q18" s="287" t="str"/>
      <c r="R18" s="260" t="str"/>
    </row>
    <row r="19" ht="22" customHeight="1" s="48">
      <c r="A19" s="261" t="str"/>
      <c r="B19" s="261" t="str"/>
      <c r="C19" s="261" t="str"/>
      <c r="D19" s="261" t="str"/>
      <c r="E19" s="261" t="str"/>
      <c r="F19" s="261" t="str"/>
      <c r="G19" s="261" t="str"/>
      <c r="H19" s="261" t="str"/>
      <c r="I19" s="261" t="str"/>
      <c r="J19" s="261" t="str"/>
      <c r="K19" s="261" t="str"/>
      <c r="L19" s="261" t="str"/>
      <c r="M19" s="261" t="str"/>
      <c r="N19" s="261" t="str"/>
      <c r="O19" s="261" t="str"/>
      <c r="P19" s="285" t="str"/>
      <c r="Q19" s="285" t="str"/>
      <c r="R19" s="261" t="str"/>
    </row>
    <row r="20" ht="22" customHeight="1" s="48">
      <c r="A20" s="260" t="str"/>
      <c r="B20" s="260" t="str"/>
      <c r="C20" s="260" t="str"/>
      <c r="D20" s="260" t="str"/>
      <c r="E20" s="260" t="str"/>
      <c r="F20" s="260" t="str"/>
      <c r="G20" s="260" t="str"/>
      <c r="H20" s="260" t="str"/>
      <c r="I20" s="260" t="str"/>
      <c r="J20" s="260" t="str"/>
      <c r="K20" s="260" t="str"/>
      <c r="L20" s="260" t="str"/>
      <c r="M20" s="260" t="str"/>
      <c r="N20" s="260" t="str"/>
      <c r="O20" s="260" t="str"/>
      <c r="P20" s="287" t="str"/>
      <c r="Q20" s="287" t="str"/>
      <c r="R20" s="260" t="str"/>
    </row>
    <row r="21" ht="22" customHeight="1" s="48">
      <c r="A21" s="261" t="str"/>
      <c r="B21" s="261" t="str"/>
      <c r="C21" s="261" t="str"/>
      <c r="D21" s="261" t="str"/>
      <c r="E21" s="261" t="str"/>
      <c r="F21" s="261" t="str"/>
      <c r="G21" s="261" t="str"/>
      <c r="H21" s="261" t="str"/>
      <c r="I21" s="261" t="str"/>
      <c r="J21" s="261" t="str"/>
      <c r="K21" s="261" t="str"/>
      <c r="L21" s="261" t="str"/>
      <c r="M21" s="261" t="str"/>
      <c r="N21" s="261" t="str"/>
      <c r="O21" s="261" t="str"/>
      <c r="P21" s="285" t="str"/>
      <c r="Q21" s="285" t="str"/>
      <c r="R21" s="261" t="str"/>
    </row>
    <row r="22" ht="22" customHeight="1" s="48">
      <c r="A22" s="260" t="str"/>
      <c r="B22" s="260" t="str"/>
      <c r="C22" s="260" t="str"/>
      <c r="D22" s="260" t="str"/>
      <c r="E22" s="260" t="str"/>
      <c r="F22" s="260" t="str"/>
      <c r="G22" s="260" t="str"/>
      <c r="H22" s="260" t="str"/>
      <c r="I22" s="260" t="str"/>
      <c r="J22" s="260" t="str"/>
      <c r="K22" s="260" t="str"/>
      <c r="L22" s="260" t="str"/>
      <c r="M22" s="260" t="str"/>
      <c r="N22" s="260" t="str"/>
      <c r="O22" s="260" t="str"/>
      <c r="P22" s="287" t="str"/>
      <c r="Q22" s="287" t="str"/>
      <c r="R22" s="260" t="str"/>
    </row>
    <row r="23" ht="22" customHeight="1" s="48">
      <c r="A23" s="261" t="str"/>
      <c r="B23" s="261" t="str"/>
      <c r="C23" s="261" t="str"/>
      <c r="D23" s="261" t="str"/>
      <c r="E23" s="261" t="str"/>
      <c r="F23" s="261" t="str"/>
      <c r="G23" s="261" t="str"/>
      <c r="H23" s="261" t="str"/>
      <c r="I23" s="261" t="str"/>
      <c r="J23" s="261" t="str"/>
      <c r="K23" s="261" t="str"/>
      <c r="L23" s="261" t="str"/>
      <c r="M23" s="261" t="str"/>
      <c r="N23" s="261" t="str"/>
      <c r="O23" s="261" t="str"/>
      <c r="P23" s="285" t="str"/>
      <c r="Q23" s="285" t="str"/>
      <c r="R23" s="261" t="str"/>
    </row>
    <row r="24" ht="22" customHeight="1" s="48">
      <c r="A24" s="260" t="str"/>
      <c r="B24" s="260" t="str"/>
      <c r="C24" s="260" t="str"/>
      <c r="D24" s="260" t="str"/>
      <c r="E24" s="260" t="str"/>
      <c r="F24" s="260" t="str"/>
      <c r="G24" s="260" t="str"/>
      <c r="H24" s="260" t="str"/>
      <c r="I24" s="260" t="str"/>
      <c r="J24" s="260" t="str"/>
      <c r="K24" s="260" t="str"/>
      <c r="L24" s="260" t="str"/>
      <c r="M24" s="260" t="str"/>
      <c r="N24" s="260" t="str"/>
      <c r="O24" s="260" t="str"/>
      <c r="P24" s="287" t="str"/>
      <c r="Q24" s="287" t="str"/>
      <c r="R24" s="260" t="str"/>
    </row>
    <row r="25" ht="22" customHeight="1" s="48">
      <c r="A25" s="261" t="str"/>
      <c r="B25" s="261" t="str"/>
      <c r="C25" s="261" t="str"/>
      <c r="D25" s="261" t="str"/>
      <c r="E25" s="261" t="str"/>
      <c r="F25" s="261" t="str"/>
      <c r="G25" s="261" t="str"/>
      <c r="H25" s="261" t="str"/>
      <c r="I25" s="261" t="str"/>
      <c r="J25" s="261" t="str"/>
      <c r="K25" s="261" t="str"/>
      <c r="L25" s="261" t="str"/>
      <c r="M25" s="261" t="str"/>
      <c r="N25" s="261" t="str"/>
      <c r="O25" s="261" t="str"/>
      <c r="P25" s="285" t="str"/>
      <c r="Q25" s="285" t="str"/>
      <c r="R25" s="261" t="str"/>
    </row>
    <row r="26" ht="22" customHeight="1" s="48">
      <c r="A26" s="260" t="str"/>
      <c r="B26" s="260" t="str"/>
      <c r="C26" s="260" t="str"/>
      <c r="D26" s="260" t="str"/>
      <c r="E26" s="260" t="str"/>
      <c r="F26" s="260" t="str"/>
      <c r="G26" s="260" t="str"/>
      <c r="H26" s="260" t="str"/>
      <c r="I26" s="260" t="str"/>
      <c r="J26" s="260" t="str"/>
      <c r="K26" s="260" t="str"/>
      <c r="L26" s="260" t="str"/>
      <c r="M26" s="260" t="str"/>
      <c r="N26" s="260" t="str"/>
      <c r="O26" s="260" t="str"/>
      <c r="P26" s="287" t="str"/>
      <c r="Q26" s="287" t="str"/>
      <c r="R26" s="260" t="str"/>
    </row>
    <row r="27" ht="22" customHeight="1" s="48">
      <c r="A27" s="261" t="str"/>
      <c r="B27" s="261" t="str"/>
      <c r="C27" s="261" t="str"/>
      <c r="D27" s="261" t="str"/>
      <c r="E27" s="261" t="str"/>
      <c r="F27" s="261" t="str"/>
      <c r="G27" s="261" t="str"/>
      <c r="H27" s="261" t="str"/>
      <c r="I27" s="261" t="str"/>
      <c r="J27" s="261" t="str"/>
      <c r="K27" s="261" t="str"/>
      <c r="L27" s="261" t="str"/>
      <c r="M27" s="261" t="str"/>
      <c r="N27" s="261" t="str"/>
      <c r="O27" s="261" t="str"/>
      <c r="P27" s="285" t="str"/>
      <c r="Q27" s="285" t="str"/>
      <c r="R27" s="261" t="str"/>
    </row>
    <row r="28" ht="22" customHeight="1" s="48">
      <c r="A28" s="260" t="str"/>
      <c r="B28" s="260" t="str"/>
      <c r="C28" s="260" t="str"/>
      <c r="D28" s="260" t="str"/>
      <c r="E28" s="260" t="str"/>
      <c r="F28" s="260" t="str"/>
      <c r="G28" s="260" t="str"/>
      <c r="H28" s="260" t="str"/>
      <c r="I28" s="260" t="str"/>
      <c r="J28" s="260" t="str"/>
      <c r="K28" s="260" t="str"/>
      <c r="L28" s="260" t="str"/>
      <c r="M28" s="260" t="str"/>
      <c r="N28" s="260" t="str"/>
      <c r="O28" s="260" t="str"/>
      <c r="P28" s="287" t="str"/>
      <c r="Q28" s="287" t="str"/>
      <c r="R28" s="260" t="str"/>
    </row>
    <row r="29" ht="22" customHeight="1" s="48">
      <c r="A29" s="261" t="str"/>
      <c r="B29" s="261" t="str"/>
      <c r="C29" s="261" t="str"/>
      <c r="D29" s="261" t="str"/>
      <c r="E29" s="261" t="str"/>
      <c r="F29" s="261" t="str"/>
      <c r="G29" s="261" t="str"/>
      <c r="H29" s="261" t="str"/>
      <c r="I29" s="261" t="str"/>
      <c r="J29" s="261" t="str"/>
      <c r="K29" s="261" t="str"/>
      <c r="L29" s="261" t="str"/>
      <c r="M29" s="261" t="str"/>
      <c r="N29" s="261" t="str"/>
      <c r="O29" s="261" t="str"/>
      <c r="P29" s="285" t="str"/>
      <c r="Q29" s="285" t="str"/>
      <c r="R29" s="261" t="str"/>
    </row>
    <row r="30" ht="22" customHeight="1" s="48">
      <c r="A30" s="260" t="str"/>
      <c r="B30" s="260" t="str"/>
      <c r="C30" s="260" t="str"/>
      <c r="D30" s="260" t="str"/>
      <c r="E30" s="260" t="str"/>
      <c r="F30" s="260" t="str"/>
      <c r="G30" s="260" t="str"/>
      <c r="H30" s="260" t="str"/>
      <c r="I30" s="260" t="str"/>
      <c r="J30" s="260" t="str"/>
      <c r="K30" s="260" t="str"/>
      <c r="L30" s="260" t="str"/>
      <c r="M30" s="260" t="str"/>
      <c r="N30" s="260" t="str"/>
      <c r="O30" s="260" t="str"/>
      <c r="P30" s="287" t="str"/>
      <c r="Q30" s="287" t="str"/>
      <c r="R30" s="260" t="str"/>
    </row>
    <row r="31" ht="22" customHeight="1" s="48">
      <c r="A31" s="261" t="str"/>
      <c r="B31" s="261" t="str"/>
      <c r="C31" s="261" t="str"/>
      <c r="D31" s="261" t="str"/>
      <c r="E31" s="261" t="str"/>
      <c r="F31" s="261" t="str"/>
      <c r="G31" s="261" t="str"/>
      <c r="H31" s="261" t="str"/>
      <c r="I31" s="261" t="str"/>
      <c r="J31" s="261" t="str"/>
      <c r="K31" s="261" t="str"/>
      <c r="L31" s="261" t="str"/>
      <c r="M31" s="261" t="str"/>
      <c r="N31" s="261" t="str"/>
      <c r="O31" s="261" t="str"/>
      <c r="P31" s="285" t="str"/>
      <c r="Q31" s="285" t="str"/>
      <c r="R31" s="261" t="str"/>
    </row>
    <row r="32" ht="22" customHeight="1" s="48">
      <c r="A32" s="260" t="str"/>
      <c r="B32" s="260" t="str"/>
      <c r="C32" s="260" t="str"/>
      <c r="D32" s="260" t="str"/>
      <c r="E32" s="260" t="str"/>
      <c r="F32" s="260" t="str"/>
      <c r="G32" s="260" t="str"/>
      <c r="H32" s="260" t="str"/>
      <c r="I32" s="260" t="str"/>
      <c r="J32" s="260" t="str"/>
      <c r="K32" s="260" t="str"/>
      <c r="L32" s="260" t="str"/>
      <c r="M32" s="260" t="str"/>
      <c r="N32" s="260" t="str"/>
      <c r="O32" s="260" t="str"/>
      <c r="P32" s="287" t="str"/>
      <c r="Q32" s="287" t="str"/>
      <c r="R32" s="260" t="str"/>
    </row>
    <row r="33" ht="22" customHeight="1" s="48">
      <c r="A33" s="261" t="str"/>
      <c r="B33" s="261" t="str"/>
      <c r="C33" s="261" t="str"/>
      <c r="D33" s="261" t="str"/>
      <c r="E33" s="261" t="str"/>
      <c r="F33" s="261" t="str"/>
      <c r="G33" s="261" t="str"/>
      <c r="H33" s="261" t="str"/>
      <c r="I33" s="261" t="str"/>
      <c r="J33" s="261" t="str"/>
      <c r="K33" s="261" t="str"/>
      <c r="L33" s="261" t="str"/>
      <c r="M33" s="261" t="str"/>
      <c r="N33" s="261" t="str"/>
      <c r="O33" s="261" t="str"/>
      <c r="P33" s="285" t="str"/>
      <c r="Q33" s="285" t="str"/>
      <c r="R33" s="261" t="str"/>
    </row>
    <row r="34" ht="22" customHeight="1" s="48">
      <c r="A34" s="260" t="str"/>
      <c r="B34" s="260" t="str"/>
      <c r="C34" s="260" t="str"/>
      <c r="D34" s="260" t="str"/>
      <c r="E34" s="260" t="str"/>
      <c r="F34" s="260" t="str"/>
      <c r="G34" s="260" t="str"/>
      <c r="H34" s="260" t="str"/>
      <c r="I34" s="260" t="str"/>
      <c r="J34" s="260" t="str"/>
      <c r="K34" s="260" t="str"/>
      <c r="L34" s="260" t="str"/>
      <c r="M34" s="260" t="str"/>
      <c r="N34" s="260" t="str"/>
      <c r="O34" s="260" t="str"/>
      <c r="P34" s="287" t="str"/>
      <c r="Q34" s="287" t="str"/>
      <c r="R34" s="260" t="str"/>
    </row>
    <row r="35" ht="22" customHeight="1" s="48">
      <c r="A35" s="261" t="str"/>
      <c r="B35" s="261" t="str"/>
      <c r="C35" s="261" t="str"/>
      <c r="D35" s="261" t="str"/>
      <c r="E35" s="261" t="str"/>
      <c r="F35" s="261" t="str"/>
      <c r="G35" s="261" t="str"/>
      <c r="H35" s="261" t="str"/>
      <c r="I35" s="261" t="str"/>
      <c r="J35" s="261" t="str"/>
      <c r="K35" s="261" t="str"/>
      <c r="L35" s="261" t="str"/>
      <c r="M35" s="261" t="str"/>
      <c r="N35" s="261" t="str"/>
      <c r="O35" s="261" t="str"/>
      <c r="P35" s="285" t="str"/>
      <c r="Q35" s="285" t="str"/>
      <c r="R35" s="261" t="str"/>
    </row>
    <row r="36" ht="22" customHeight="1" s="48">
      <c r="A36" s="260" t="str"/>
      <c r="B36" s="260" t="str"/>
      <c r="C36" s="260" t="str"/>
      <c r="D36" s="260" t="str"/>
      <c r="E36" s="260" t="str"/>
      <c r="F36" s="260" t="str"/>
      <c r="G36" s="260" t="str"/>
      <c r="H36" s="260" t="str"/>
      <c r="I36" s="260" t="str"/>
      <c r="J36" s="260" t="str"/>
      <c r="K36" s="260" t="str"/>
      <c r="L36" s="260" t="str"/>
      <c r="M36" s="260" t="str"/>
      <c r="N36" s="260" t="str"/>
      <c r="O36" s="260" t="str"/>
      <c r="P36" s="287" t="str"/>
      <c r="Q36" s="287" t="str"/>
      <c r="R36" s="260" t="str"/>
    </row>
    <row r="37" ht="22" customHeight="1" s="48">
      <c r="A37" s="261" t="str"/>
      <c r="B37" s="261" t="str"/>
      <c r="C37" s="261" t="str"/>
      <c r="D37" s="261" t="str"/>
      <c r="E37" s="261" t="str"/>
      <c r="F37" s="261" t="str"/>
      <c r="G37" s="261" t="str"/>
      <c r="H37" s="261" t="str"/>
      <c r="I37" s="261" t="str"/>
      <c r="J37" s="261" t="str"/>
      <c r="K37" s="261" t="str"/>
      <c r="L37" s="261" t="str"/>
      <c r="M37" s="261" t="str"/>
      <c r="N37" s="261" t="str"/>
      <c r="O37" s="261" t="str"/>
      <c r="P37" s="285" t="str"/>
      <c r="Q37" s="285" t="str"/>
      <c r="R37" s="261" t="str"/>
    </row>
    <row r="38" ht="22" customHeight="1" s="48">
      <c r="A38" s="260" t="str"/>
      <c r="B38" s="260" t="str"/>
      <c r="C38" s="260" t="str"/>
      <c r="D38" s="260" t="str"/>
      <c r="E38" s="260" t="str"/>
      <c r="F38" s="260" t="str"/>
      <c r="G38" s="260" t="str"/>
      <c r="H38" s="260" t="str"/>
      <c r="I38" s="260" t="str"/>
      <c r="J38" s="260" t="str"/>
      <c r="K38" s="260" t="str"/>
      <c r="L38" s="260" t="str"/>
      <c r="M38" s="260" t="str"/>
      <c r="N38" s="260" t="str"/>
      <c r="O38" s="260" t="str"/>
      <c r="P38" s="287" t="str"/>
      <c r="Q38" s="287" t="str"/>
      <c r="R38" s="260" t="str"/>
    </row>
    <row r="39" ht="22" customHeight="1" s="48">
      <c r="A39" s="261" t="str"/>
      <c r="B39" s="261" t="str"/>
      <c r="C39" s="261" t="str"/>
      <c r="D39" s="261" t="str"/>
      <c r="E39" s="261" t="str"/>
      <c r="F39" s="261" t="str"/>
      <c r="G39" s="261" t="str"/>
      <c r="H39" s="261" t="str"/>
      <c r="I39" s="261" t="str"/>
      <c r="J39" s="261" t="str"/>
      <c r="K39" s="261" t="str"/>
      <c r="L39" s="261" t="str"/>
      <c r="M39" s="261" t="str"/>
      <c r="N39" s="261" t="str"/>
      <c r="O39" s="261" t="str"/>
      <c r="P39" s="285" t="str"/>
      <c r="Q39" s="285" t="str"/>
      <c r="R39" s="261" t="str"/>
    </row>
    <row r="40" ht="22" customHeight="1" s="48">
      <c r="A40" s="260" t="str"/>
      <c r="B40" s="260" t="str"/>
      <c r="C40" s="260" t="str"/>
      <c r="D40" s="260" t="str"/>
      <c r="E40" s="260" t="str"/>
      <c r="F40" s="260" t="str"/>
      <c r="G40" s="260" t="str"/>
      <c r="H40" s="260" t="str"/>
      <c r="I40" s="260" t="str"/>
      <c r="J40" s="260" t="str"/>
      <c r="K40" s="260" t="str"/>
      <c r="L40" s="260" t="str"/>
      <c r="M40" s="260" t="str"/>
      <c r="N40" s="260" t="str"/>
      <c r="O40" s="260" t="str"/>
      <c r="P40" s="287" t="str"/>
      <c r="Q40" s="287" t="str"/>
      <c r="R40" s="260" t="str"/>
    </row>
    <row r="41" ht="22" customHeight="1" s="48">
      <c r="A41" s="261" t="str"/>
      <c r="B41" s="261" t="str"/>
      <c r="C41" s="261" t="str"/>
      <c r="D41" s="261" t="str"/>
      <c r="E41" s="261" t="str"/>
      <c r="F41" s="261" t="str"/>
      <c r="G41" s="261" t="str"/>
      <c r="H41" s="261" t="str"/>
      <c r="I41" s="261" t="str"/>
      <c r="J41" s="261" t="str"/>
      <c r="K41" s="261" t="str"/>
      <c r="L41" s="261" t="str"/>
      <c r="M41" s="261" t="str"/>
      <c r="N41" s="261" t="str"/>
      <c r="O41" s="261" t="str"/>
      <c r="P41" s="285" t="str"/>
      <c r="Q41" s="285" t="str"/>
      <c r="R41" s="261" t="str"/>
    </row>
    <row r="42" ht="22" customHeight="1" s="48">
      <c r="A42" s="260" t="str"/>
      <c r="B42" s="260" t="str"/>
      <c r="C42" s="260" t="str"/>
      <c r="D42" s="260" t="str"/>
      <c r="E42" s="260" t="str"/>
      <c r="F42" s="260" t="str"/>
      <c r="G42" s="260" t="str"/>
      <c r="H42" s="260" t="str"/>
      <c r="I42" s="260" t="str"/>
      <c r="J42" s="260" t="str"/>
      <c r="K42" s="260" t="str"/>
      <c r="L42" s="260" t="str"/>
      <c r="M42" s="260" t="str"/>
      <c r="N42" s="260" t="str"/>
      <c r="O42" s="260" t="str"/>
      <c r="P42" s="287" t="str"/>
      <c r="Q42" s="287" t="str"/>
      <c r="R42" s="260" t="str"/>
    </row>
    <row r="43" ht="22" customHeight="1" s="48">
      <c r="A43" s="261" t="str"/>
      <c r="B43" s="261" t="str"/>
      <c r="C43" s="261" t="str"/>
      <c r="D43" s="261" t="str"/>
      <c r="E43" s="261" t="str"/>
      <c r="F43" s="261" t="str"/>
      <c r="G43" s="261" t="str"/>
      <c r="H43" s="261" t="str"/>
      <c r="I43" s="261" t="str"/>
      <c r="J43" s="261" t="str"/>
      <c r="K43" s="261" t="str"/>
      <c r="L43" s="261" t="str"/>
      <c r="M43" s="261" t="str"/>
      <c r="N43" s="261" t="str"/>
      <c r="O43" s="261" t="str"/>
      <c r="P43" s="285" t="str"/>
      <c r="Q43" s="285" t="str"/>
      <c r="R43" s="261" t="str"/>
    </row>
    <row r="44" ht="22" customHeight="1" s="48">
      <c r="A44" s="260" t="str"/>
      <c r="B44" s="260" t="str"/>
      <c r="C44" s="260" t="str"/>
      <c r="D44" s="260" t="str"/>
      <c r="E44" s="260" t="str"/>
      <c r="F44" s="260" t="str"/>
      <c r="G44" s="260" t="str"/>
      <c r="H44" s="260" t="str"/>
      <c r="I44" s="260" t="str"/>
      <c r="J44" s="260" t="str"/>
      <c r="K44" s="260" t="str"/>
      <c r="L44" s="260" t="str"/>
      <c r="M44" s="260" t="str"/>
      <c r="N44" s="260" t="str"/>
      <c r="O44" s="260" t="str"/>
      <c r="P44" s="287" t="str"/>
      <c r="Q44" s="287" t="str"/>
      <c r="R44" s="260" t="str"/>
    </row>
    <row r="45" ht="22" customHeight="1" s="48">
      <c r="A45" s="261" t="str"/>
      <c r="B45" s="261" t="str"/>
      <c r="C45" s="261" t="str"/>
      <c r="D45" s="261" t="str"/>
      <c r="E45" s="261" t="str"/>
      <c r="F45" s="261" t="str"/>
      <c r="G45" s="261" t="str"/>
      <c r="H45" s="261" t="str"/>
      <c r="I45" s="261" t="str"/>
      <c r="J45" s="261" t="str"/>
      <c r="K45" s="261" t="str"/>
      <c r="L45" s="261" t="str"/>
      <c r="M45" s="261" t="str"/>
      <c r="N45" s="261" t="str"/>
      <c r="O45" s="261" t="str"/>
      <c r="P45" s="285" t="str"/>
      <c r="Q45" s="285" t="str"/>
      <c r="R45" s="261" t="str"/>
    </row>
    <row r="46" ht="22" customHeight="1" s="48">
      <c r="A46" s="260" t="str"/>
      <c r="B46" s="260" t="str"/>
      <c r="C46" s="260" t="str"/>
      <c r="D46" s="260" t="str"/>
      <c r="E46" s="260" t="str"/>
      <c r="F46" s="260" t="str"/>
      <c r="G46" s="260" t="str"/>
      <c r="H46" s="260" t="str"/>
      <c r="I46" s="260" t="str"/>
      <c r="J46" s="260" t="str"/>
      <c r="K46" s="260" t="str"/>
      <c r="L46" s="260" t="str"/>
      <c r="M46" s="260" t="str"/>
      <c r="N46" s="260" t="str"/>
      <c r="O46" s="260" t="str"/>
      <c r="P46" s="287" t="str"/>
      <c r="Q46" s="287" t="str"/>
      <c r="R46" s="260" t="str"/>
    </row>
    <row r="47" ht="22" customHeight="1" s="48">
      <c r="A47" s="261" t="str"/>
      <c r="B47" s="261" t="str"/>
      <c r="C47" s="261" t="str"/>
      <c r="D47" s="261" t="str"/>
      <c r="E47" s="261" t="str"/>
      <c r="F47" s="261" t="str"/>
      <c r="G47" s="261" t="str"/>
      <c r="H47" s="261" t="str"/>
      <c r="I47" s="261" t="str"/>
      <c r="J47" s="261" t="str"/>
      <c r="K47" s="261" t="str"/>
      <c r="L47" s="261" t="str"/>
      <c r="M47" s="261" t="str"/>
      <c r="N47" s="261" t="str"/>
      <c r="O47" s="261" t="str"/>
      <c r="P47" s="285" t="str"/>
      <c r="Q47" s="285" t="str"/>
      <c r="R47" s="261" t="str"/>
    </row>
    <row r="48" ht="22" customHeight="1" s="48">
      <c r="A48" s="260" t="str"/>
      <c r="B48" s="260" t="str"/>
      <c r="C48" s="260" t="str"/>
      <c r="D48" s="260" t="str"/>
      <c r="E48" s="260" t="str"/>
      <c r="F48" s="260" t="str"/>
      <c r="G48" s="260" t="str"/>
      <c r="H48" s="260" t="str"/>
      <c r="I48" s="260" t="str"/>
      <c r="J48" s="260" t="str"/>
      <c r="K48" s="260" t="str"/>
      <c r="L48" s="260" t="str"/>
      <c r="M48" s="260" t="str"/>
      <c r="N48" s="260" t="str"/>
      <c r="O48" s="260" t="str"/>
      <c r="P48" s="287" t="str"/>
      <c r="Q48" s="287" t="str"/>
      <c r="R48" s="260" t="str"/>
    </row>
    <row r="49" ht="22" customHeight="1" s="48">
      <c r="A49" s="261" t="str"/>
      <c r="B49" s="261" t="str"/>
      <c r="C49" s="261" t="str"/>
      <c r="D49" s="261" t="str"/>
      <c r="E49" s="261" t="str"/>
      <c r="F49" s="261" t="str"/>
      <c r="G49" s="261" t="str"/>
      <c r="H49" s="261" t="str"/>
      <c r="I49" s="261" t="str"/>
      <c r="J49" s="261" t="str"/>
      <c r="K49" s="261" t="str"/>
      <c r="L49" s="261" t="str"/>
      <c r="M49" s="261" t="str"/>
      <c r="N49" s="261" t="str"/>
      <c r="O49" s="261" t="str"/>
      <c r="P49" s="285" t="str"/>
      <c r="Q49" s="285" t="str"/>
      <c r="R49" s="261" t="str"/>
    </row>
    <row r="50" ht="22" customHeight="1" s="48">
      <c r="A50" s="260" t="str"/>
      <c r="B50" s="260" t="str"/>
      <c r="C50" s="260" t="str"/>
      <c r="D50" s="260" t="str"/>
      <c r="E50" s="260" t="str"/>
      <c r="F50" s="260" t="str"/>
      <c r="G50" s="260" t="str"/>
      <c r="H50" s="260" t="str"/>
      <c r="I50" s="260" t="str"/>
      <c r="J50" s="260" t="str"/>
      <c r="K50" s="260" t="str"/>
      <c r="L50" s="260" t="str"/>
      <c r="M50" s="260" t="str"/>
      <c r="N50" s="260" t="str"/>
      <c r="O50" s="260" t="str"/>
      <c r="P50" s="287" t="str"/>
      <c r="Q50" s="287" t="str"/>
      <c r="R50" s="260" t="str"/>
    </row>
    <row r="51" ht="22" customHeight="1" s="48">
      <c r="A51" s="261" t="str"/>
      <c r="B51" s="261" t="str"/>
      <c r="C51" s="261" t="str"/>
      <c r="D51" s="261" t="str"/>
      <c r="E51" s="261" t="str"/>
      <c r="F51" s="261" t="str"/>
      <c r="G51" s="261" t="str"/>
      <c r="H51" s="261" t="str"/>
      <c r="I51" s="261" t="str"/>
      <c r="J51" s="261" t="str"/>
      <c r="K51" s="261" t="str"/>
      <c r="L51" s="261" t="str"/>
      <c r="M51" s="261" t="str"/>
      <c r="N51" s="261" t="str"/>
      <c r="O51" s="261" t="str"/>
      <c r="P51" s="285" t="str"/>
      <c r="Q51" s="285" t="str"/>
      <c r="R51" s="261" t="str"/>
    </row>
    <row r="52" ht="22" customHeight="1" s="48">
      <c r="A52" s="260" t="str"/>
      <c r="B52" s="260" t="str"/>
      <c r="C52" s="260" t="str"/>
      <c r="D52" s="260" t="str"/>
      <c r="E52" s="260" t="str"/>
      <c r="F52" s="260" t="str"/>
      <c r="G52" s="260" t="str"/>
      <c r="H52" s="260" t="str"/>
      <c r="I52" s="260" t="str"/>
      <c r="J52" s="260" t="str"/>
      <c r="K52" s="260" t="str"/>
      <c r="L52" s="260" t="str"/>
      <c r="M52" s="260" t="str"/>
      <c r="N52" s="260" t="str"/>
      <c r="O52" s="260" t="str"/>
      <c r="P52" s="287" t="str"/>
      <c r="Q52" s="287" t="str"/>
      <c r="R52" s="260" t="str"/>
    </row>
    <row r="53" ht="22" customHeight="1" s="48">
      <c r="A53" s="261" t="n"/>
      <c r="B53" s="261" t="n"/>
      <c r="C53" s="261" t="n"/>
      <c r="D53" s="261" t="n"/>
      <c r="E53" s="261" t="n"/>
      <c r="F53" s="261" t="n"/>
      <c r="G53" s="261" t="n"/>
      <c r="H53" s="261" t="n"/>
      <c r="I53" s="261" t="n"/>
      <c r="J53" s="261" t="n"/>
      <c r="K53" s="261" t="n"/>
      <c r="L53" s="261" t="n"/>
      <c r="M53" s="261" t="n"/>
      <c r="N53" s="261" t="n"/>
      <c r="O53" s="261" t="n"/>
      <c r="P53" s="261" t="n"/>
      <c r="Q53" s="261" t="n"/>
      <c r="R53" s="261" t="n"/>
    </row>
    <row r="54" ht="22" customHeight="1" s="48">
      <c r="A54" s="260" t="n"/>
      <c r="B54" s="260" t="n"/>
      <c r="C54" s="260" t="n"/>
      <c r="D54" s="260" t="n"/>
      <c r="E54" s="260" t="n"/>
      <c r="F54" s="260" t="n"/>
      <c r="G54" s="260" t="n"/>
      <c r="H54" s="260" t="n"/>
      <c r="I54" s="260" t="n"/>
      <c r="J54" s="260" t="n"/>
      <c r="K54" s="260" t="n"/>
      <c r="L54" s="260" t="n"/>
      <c r="M54" s="260" t="n"/>
      <c r="N54" s="260" t="n"/>
      <c r="O54" s="260" t="n"/>
      <c r="P54" s="260" t="n"/>
      <c r="Q54" s="260" t="n"/>
      <c r="R54" s="260" t="n"/>
    </row>
    <row r="55" ht="22" customHeight="1" s="48">
      <c r="A55" s="261" t="n"/>
      <c r="B55" s="261" t="n"/>
      <c r="C55" s="261" t="n"/>
      <c r="D55" s="261" t="n"/>
      <c r="E55" s="261" t="n"/>
      <c r="F55" s="261" t="n"/>
      <c r="G55" s="261" t="n"/>
      <c r="H55" s="261" t="n"/>
      <c r="I55" s="261" t="n"/>
      <c r="J55" s="261" t="n"/>
      <c r="K55" s="261" t="n"/>
      <c r="L55" s="261" t="n"/>
      <c r="M55" s="261" t="n"/>
      <c r="N55" s="261" t="n"/>
      <c r="O55" s="261" t="n"/>
      <c r="P55" s="261" t="n"/>
      <c r="Q55" s="261" t="n"/>
      <c r="R55" s="261" t="n"/>
    </row>
    <row r="56" ht="22" customHeight="1" s="48">
      <c r="A56" s="260" t="n"/>
      <c r="B56" s="260" t="n"/>
      <c r="C56" s="260" t="n"/>
      <c r="D56" s="260" t="n"/>
      <c r="E56" s="260" t="n"/>
      <c r="F56" s="260" t="n"/>
      <c r="G56" s="260" t="n"/>
      <c r="H56" s="260" t="n"/>
      <c r="I56" s="260" t="n"/>
      <c r="J56" s="260" t="n"/>
      <c r="K56" s="260" t="n"/>
      <c r="L56" s="260" t="n"/>
      <c r="M56" s="260" t="n"/>
      <c r="N56" s="260" t="n"/>
      <c r="O56" s="260" t="n"/>
      <c r="P56" s="260" t="n"/>
      <c r="Q56" s="260" t="n"/>
      <c r="R56" s="260" t="n"/>
    </row>
    <row r="57" ht="22" customHeight="1" s="48">
      <c r="A57" s="261" t="n"/>
      <c r="B57" s="261" t="n"/>
      <c r="C57" s="261" t="n"/>
      <c r="D57" s="261" t="n"/>
      <c r="E57" s="261" t="n"/>
      <c r="F57" s="261" t="n"/>
      <c r="G57" s="261" t="n"/>
      <c r="H57" s="261" t="n"/>
      <c r="I57" s="261" t="n"/>
      <c r="J57" s="261" t="n"/>
      <c r="K57" s="261" t="n"/>
      <c r="L57" s="261" t="n"/>
      <c r="M57" s="261" t="n"/>
      <c r="N57" s="261" t="n"/>
      <c r="O57" s="261" t="n"/>
      <c r="P57" s="261" t="n"/>
      <c r="Q57" s="261" t="n"/>
      <c r="R57" s="261" t="n"/>
    </row>
    <row r="58" ht="22" customHeight="1" s="48">
      <c r="A58" s="260" t="n"/>
      <c r="B58" s="260" t="n"/>
      <c r="C58" s="260" t="n"/>
      <c r="D58" s="260" t="n"/>
      <c r="E58" s="260" t="n"/>
      <c r="F58" s="260" t="n"/>
      <c r="G58" s="260" t="n"/>
      <c r="H58" s="260" t="n"/>
      <c r="I58" s="260" t="n"/>
      <c r="J58" s="260" t="n"/>
      <c r="K58" s="260" t="n"/>
      <c r="L58" s="260" t="n"/>
      <c r="M58" s="260" t="n"/>
      <c r="N58" s="260" t="n"/>
      <c r="O58" s="260" t="n"/>
      <c r="P58" s="260" t="n"/>
      <c r="Q58" s="260" t="n"/>
      <c r="R58" s="260" t="n"/>
    </row>
    <row r="59" ht="22" customHeight="1" s="48">
      <c r="A59" s="261" t="n"/>
      <c r="B59" s="261" t="n"/>
      <c r="C59" s="261" t="n"/>
      <c r="D59" s="261" t="n"/>
      <c r="E59" s="261" t="n"/>
      <c r="F59" s="261" t="n"/>
      <c r="G59" s="261" t="n"/>
      <c r="H59" s="261" t="n"/>
      <c r="I59" s="261" t="n"/>
      <c r="J59" s="261" t="n"/>
      <c r="K59" s="261" t="n"/>
      <c r="L59" s="261" t="n"/>
      <c r="M59" s="261" t="n"/>
      <c r="N59" s="261" t="n"/>
      <c r="O59" s="261" t="n"/>
      <c r="P59" s="261" t="n"/>
      <c r="Q59" s="261" t="n"/>
      <c r="R59" s="261" t="n"/>
    </row>
    <row r="60" ht="22" customHeight="1" s="48">
      <c r="A60" s="260" t="n"/>
      <c r="B60" s="260" t="n"/>
      <c r="C60" s="260" t="n"/>
      <c r="D60" s="260" t="n"/>
      <c r="E60" s="260" t="n"/>
      <c r="F60" s="260" t="n"/>
      <c r="G60" s="260" t="n"/>
      <c r="H60" s="260" t="n"/>
      <c r="I60" s="260" t="n"/>
      <c r="J60" s="260" t="n"/>
      <c r="K60" s="260" t="n"/>
      <c r="L60" s="260" t="n"/>
      <c r="M60" s="260" t="n"/>
      <c r="N60" s="260" t="n"/>
      <c r="O60" s="260" t="n"/>
      <c r="P60" s="260" t="n"/>
      <c r="Q60" s="260" t="n"/>
      <c r="R60" s="260" t="n"/>
    </row>
    <row r="61" ht="20" customHeight="1" s="48"/>
    <row r="62" ht="20" customHeight="1" s="48"/>
    <row r="63" ht="20" customHeight="1" s="48"/>
    <row r="64" ht="20" customHeight="1" s="48"/>
    <row r="65" ht="20" customHeight="1" s="48"/>
    <row r="66" ht="20" customHeight="1" s="48"/>
    <row r="67" ht="20" customHeight="1" s="48"/>
    <row r="68" ht="20" customHeight="1" s="48"/>
    <row r="69" ht="20" customHeight="1" s="48"/>
    <row r="70" ht="20" customHeight="1" s="48"/>
    <row r="71" ht="20" customHeight="1" s="48"/>
    <row r="72" ht="20" customHeight="1" s="48"/>
    <row r="73" ht="20" customHeight="1" s="48"/>
    <row r="74" ht="20" customHeight="1" s="48"/>
    <row r="75" ht="20" customHeight="1" s="48"/>
    <row r="76" ht="20" customHeight="1" s="48"/>
    <row r="77" ht="20" customHeight="1" s="48"/>
    <row r="78" ht="20" customHeight="1" s="48"/>
    <row r="79" ht="20" customHeight="1" s="48"/>
    <row r="80" ht="20" customHeight="1" s="48"/>
    <row r="81" ht="20" customHeight="1" s="48"/>
    <row r="82" ht="20" customHeight="1" s="48"/>
    <row r="83" ht="20" customHeight="1" s="48"/>
    <row r="84" ht="20" customHeight="1" s="48"/>
    <row r="85" ht="20" customHeight="1" s="48"/>
    <row r="86" ht="20" customHeight="1" s="48"/>
    <row r="87" ht="20" customHeight="1" s="48"/>
    <row r="88" ht="20" customHeight="1" s="48"/>
    <row r="89" ht="20" customHeight="1" s="48"/>
    <row r="90" ht="20" customHeight="1" s="48"/>
    <row r="91" ht="20" customHeight="1" s="48"/>
    <row r="92" ht="20" customHeight="1" s="48"/>
    <row r="93" ht="20" customHeight="1" s="48"/>
    <row r="94" ht="20" customHeight="1" s="48"/>
    <row r="95" ht="20" customHeight="1" s="48"/>
    <row r="96" ht="20" customHeight="1" s="48"/>
    <row r="97" ht="20" customHeight="1" s="48"/>
    <row r="98" ht="20" customHeight="1" s="48"/>
    <row r="99" ht="20" customHeight="1" s="48"/>
    <row r="100" ht="20" customHeight="1" s="48"/>
    <row r="101" ht="20" customHeight="1" s="48"/>
    <row r="102" ht="20" customHeight="1" s="48"/>
    <row r="103" ht="20" customHeight="1" s="48"/>
    <row r="104" ht="20" customHeight="1" s="48"/>
    <row r="105" ht="20" customHeight="1" s="48"/>
    <row r="106" ht="20" customHeight="1" s="48"/>
    <row r="107" ht="20" customHeight="1" s="48"/>
    <row r="108" ht="20" customHeight="1" s="48"/>
    <row r="109" ht="20" customHeight="1" s="48"/>
    <row r="110" ht="20" customHeight="1" s="48"/>
    <row r="111" ht="20" customHeight="1" s="48"/>
    <row r="112" ht="20" customHeight="1" s="48"/>
    <row r="113" ht="20" customHeight="1" s="48"/>
    <row r="114" ht="20" customHeight="1" s="48"/>
    <row r="115" ht="20" customHeight="1" s="48"/>
    <row r="116" ht="20" customHeight="1" s="48"/>
    <row r="117" ht="20" customHeight="1" s="48"/>
    <row r="118" ht="20" customHeight="1" s="48"/>
    <row r="119" ht="20" customHeight="1" s="48"/>
    <row r="120" ht="20" customHeight="1" s="48"/>
    <row r="121" ht="20" customHeight="1" s="48"/>
    <row r="122" ht="20" customHeight="1" s="48"/>
    <row r="123" ht="20" customHeight="1" s="48"/>
    <row r="124" ht="20" customHeight="1" s="48"/>
    <row r="125" ht="20" customHeight="1" s="48"/>
    <row r="126" ht="20" customHeight="1" s="48"/>
    <row r="127" ht="20" customHeight="1" s="48"/>
    <row r="128" ht="20" customHeight="1" s="48"/>
    <row r="129" ht="20" customHeight="1" s="48"/>
    <row r="130" ht="20" customHeight="1" s="48"/>
    <row r="131" ht="20" customHeight="1" s="48"/>
    <row r="132" ht="20" customHeight="1" s="48"/>
    <row r="133" ht="20" customHeight="1" s="48"/>
    <row r="134" ht="20" customHeight="1" s="48"/>
    <row r="135" ht="20" customHeight="1" s="48"/>
    <row r="136" ht="20" customHeight="1" s="48"/>
    <row r="137" ht="20" customHeight="1" s="48"/>
    <row r="138" ht="20" customHeight="1" s="48"/>
    <row r="139" ht="20" customHeight="1" s="48"/>
    <row r="140" ht="20" customHeight="1" s="48"/>
    <row r="141" ht="20" customHeight="1" s="48"/>
    <row r="142" ht="20" customHeight="1" s="48"/>
    <row r="143" ht="20" customHeight="1" s="48"/>
    <row r="144" ht="20" customHeight="1" s="48"/>
    <row r="145" ht="20" customHeight="1" s="48"/>
    <row r="146" ht="20" customHeight="1" s="48"/>
    <row r="147" ht="20" customHeight="1" s="48"/>
    <row r="148" ht="20" customHeight="1" s="48"/>
    <row r="149" ht="20" customHeight="1" s="48"/>
    <row r="150" ht="20" customHeight="1" s="48"/>
    <row r="151" ht="20" customHeight="1" s="48"/>
    <row r="152" ht="20" customHeight="1" s="48"/>
    <row r="153" ht="20" customHeight="1" s="48"/>
    <row r="154" ht="20" customHeight="1" s="48"/>
    <row r="155" ht="20" customHeight="1" s="48"/>
    <row r="156" ht="20" customHeight="1" s="48"/>
    <row r="157" ht="20" customHeight="1" s="48"/>
    <row r="158" ht="20" customHeight="1" s="48"/>
    <row r="159" ht="20" customHeight="1" s="48"/>
    <row r="160" ht="20" customHeight="1" s="48"/>
    <row r="161" ht="20" customHeight="1" s="48"/>
    <row r="162" ht="20" customHeight="1" s="48"/>
    <row r="163" ht="20" customHeight="1" s="48"/>
    <row r="164" ht="20" customHeight="1" s="48"/>
    <row r="165" ht="20" customHeight="1" s="48"/>
    <row r="166" ht="20" customHeight="1" s="48"/>
    <row r="167" ht="20" customHeight="1" s="48"/>
    <row r="168" ht="20" customHeight="1" s="48"/>
    <row r="169" ht="20" customHeight="1" s="48"/>
    <row r="170" ht="20" customHeight="1" s="48"/>
    <row r="171" ht="20" customHeight="1" s="48"/>
    <row r="172" ht="20" customHeight="1" s="48"/>
    <row r="173" ht="20" customHeight="1" s="48"/>
    <row r="174" ht="20" customHeight="1" s="48"/>
    <row r="175" ht="20" customHeight="1" s="48"/>
    <row r="176" ht="20" customHeight="1" s="48"/>
    <row r="177" ht="20" customHeight="1" s="48"/>
    <row r="178" ht="20" customHeight="1" s="48"/>
    <row r="179" ht="20" customHeight="1" s="48"/>
    <row r="180" ht="20" customHeight="1" s="48"/>
    <row r="181" ht="20" customHeight="1" s="48"/>
    <row r="182" ht="20" customHeight="1" s="48"/>
    <row r="183" ht="20" customHeight="1" s="48"/>
    <row r="184" ht="20" customHeight="1" s="48"/>
    <row r="185" ht="20" customHeight="1" s="48"/>
    <row r="186" ht="20" customHeight="1" s="48"/>
    <row r="187" ht="20" customHeight="1" s="48"/>
    <row r="188" ht="20" customHeight="1" s="48"/>
    <row r="189" ht="20" customHeight="1" s="48"/>
    <row r="190" ht="20" customHeight="1" s="48"/>
    <row r="191" ht="20" customHeight="1" s="48"/>
    <row r="192" ht="20" customHeight="1" s="48"/>
    <row r="193" ht="20" customHeight="1" s="48"/>
    <row r="194" ht="20" customHeight="1" s="48"/>
    <row r="195" ht="20" customHeight="1" s="48"/>
    <row r="196" ht="20" customHeight="1" s="48"/>
    <row r="197" ht="20" customHeight="1" s="48"/>
    <row r="198" ht="20" customHeight="1" s="48"/>
    <row r="199" ht="20" customHeight="1" s="48"/>
    <row r="200" ht="20" customHeight="1" s="48"/>
    <row r="201" ht="20" customHeight="1" s="48"/>
    <row r="202" ht="20" customHeight="1" s="48"/>
    <row r="203" ht="20" customHeight="1" s="48"/>
    <row r="204" ht="20" customHeight="1" s="48"/>
    <row r="205" ht="20" customHeight="1" s="48"/>
    <row r="206" ht="20" customHeight="1" s="48"/>
    <row r="207" ht="20" customHeight="1" s="48"/>
    <row r="208" ht="20" customHeight="1" s="48"/>
    <row r="209" ht="20" customHeight="1" s="48"/>
    <row r="210" ht="20" customHeight="1" s="48"/>
    <row r="211" ht="20" customHeight="1" s="48"/>
    <row r="212" ht="20" customHeight="1" s="48"/>
    <row r="213" ht="20" customHeight="1" s="48"/>
    <row r="214" ht="20" customHeight="1" s="48"/>
    <row r="215" ht="20" customHeight="1" s="48"/>
    <row r="216" ht="20" customHeight="1" s="48"/>
    <row r="217" ht="20" customHeight="1" s="48"/>
    <row r="218" ht="20" customHeight="1" s="48"/>
    <row r="219" ht="20" customHeight="1" s="48"/>
    <row r="220" ht="20" customHeight="1" s="48"/>
    <row r="221" ht="20" customHeight="1" s="48"/>
    <row r="222" ht="20" customHeight="1" s="48"/>
    <row r="223" ht="20" customHeight="1" s="48"/>
    <row r="224" ht="20" customHeight="1" s="48"/>
    <row r="225" ht="20" customHeight="1" s="48"/>
    <row r="226" ht="20" customHeight="1" s="48"/>
    <row r="227" ht="20" customHeight="1" s="48"/>
    <row r="228" ht="20" customHeight="1" s="48"/>
    <row r="229" ht="20" customHeight="1" s="48"/>
    <row r="230" ht="20" customHeight="1" s="48"/>
    <row r="231" ht="20" customHeight="1" s="48"/>
    <row r="232" ht="20" customHeight="1" s="48"/>
    <row r="233" ht="20" customHeight="1" s="48"/>
    <row r="234" ht="20" customHeight="1" s="48"/>
    <row r="235" ht="20" customHeight="1" s="48"/>
    <row r="236" ht="20" customHeight="1" s="48"/>
    <row r="237" ht="20" customHeight="1" s="48"/>
    <row r="238" ht="20" customHeight="1" s="48"/>
    <row r="239" ht="20" customHeight="1" s="48"/>
    <row r="240" ht="20" customHeight="1" s="48"/>
    <row r="241" ht="20" customHeight="1" s="48"/>
    <row r="242" ht="20" customHeight="1" s="48"/>
    <row r="243" ht="20" customHeight="1" s="48"/>
    <row r="244" ht="20" customHeight="1" s="48"/>
    <row r="245" ht="20" customHeight="1" s="48"/>
    <row r="246" ht="20" customHeight="1" s="48"/>
    <row r="247" ht="20" customHeight="1" s="48"/>
    <row r="248" ht="20" customHeight="1" s="48"/>
    <row r="249" ht="20" customHeight="1" s="48"/>
    <row r="250" ht="20" customHeight="1" s="48"/>
    <row r="251" ht="20" customHeight="1" s="48"/>
    <row r="252" ht="20" customHeight="1" s="48"/>
    <row r="253" ht="20" customHeight="1" s="48"/>
    <row r="254" ht="20" customHeight="1" s="48"/>
    <row r="255" ht="20" customHeight="1" s="48"/>
    <row r="256" ht="20" customHeight="1" s="48"/>
    <row r="257" ht="20" customHeight="1" s="48"/>
    <row r="258" ht="20" customHeight="1" s="48"/>
    <row r="259" ht="20" customHeight="1" s="48"/>
    <row r="260" ht="20" customHeight="1" s="48"/>
    <row r="261" ht="20" customHeight="1" s="48"/>
    <row r="262" ht="20" customHeight="1" s="48"/>
    <row r="263" ht="20" customHeight="1" s="48"/>
    <row r="264" ht="20" customHeight="1" s="48"/>
    <row r="265" ht="20" customHeight="1" s="48"/>
    <row r="266" ht="20" customHeight="1" s="48"/>
    <row r="267" ht="20" customHeight="1" s="48"/>
    <row r="268" ht="20" customHeight="1" s="48"/>
    <row r="269" ht="20" customHeight="1" s="48"/>
    <row r="270" ht="20" customHeight="1" s="48"/>
    <row r="271" ht="20" customHeight="1" s="48"/>
    <row r="272" ht="20" customHeight="1" s="48"/>
    <row r="273" ht="20" customHeight="1" s="48"/>
    <row r="274" ht="20" customHeight="1" s="48"/>
    <row r="275" ht="20" customHeight="1" s="48"/>
    <row r="276" ht="20" customHeight="1" s="48"/>
    <row r="277" ht="20" customHeight="1" s="48"/>
    <row r="278" ht="20" customHeight="1" s="48"/>
    <row r="279" ht="20" customHeight="1" s="48"/>
    <row r="280" ht="20" customHeight="1" s="48"/>
    <row r="281" ht="20" customHeight="1" s="48"/>
    <row r="282" ht="20" customHeight="1" s="48"/>
    <row r="283" ht="20" customHeight="1" s="48"/>
    <row r="284" ht="20" customHeight="1" s="48"/>
    <row r="285" ht="20" customHeight="1" s="48"/>
    <row r="286" ht="20" customHeight="1" s="48"/>
    <row r="287" ht="20" customHeight="1" s="48"/>
    <row r="288" ht="20" customHeight="1" s="48"/>
    <row r="289" ht="20" customHeight="1" s="48"/>
    <row r="290" ht="20" customHeight="1" s="48"/>
    <row r="291" ht="20" customHeight="1" s="48"/>
    <row r="292" ht="20" customHeight="1" s="48"/>
    <row r="293" ht="20" customHeight="1" s="48"/>
    <row r="294" ht="20" customHeight="1" s="48"/>
    <row r="295" ht="20" customHeight="1" s="48"/>
    <row r="296" ht="20" customHeight="1" s="48"/>
    <row r="297" ht="20" customHeight="1" s="48"/>
    <row r="298" ht="20" customHeight="1" s="48"/>
    <row r="299" ht="20" customHeight="1" s="48"/>
    <row r="300" ht="20" customHeight="1" s="48"/>
    <row r="301" ht="20" customHeight="1" s="48"/>
    <row r="302" ht="20" customHeight="1" s="48"/>
    <row r="303" ht="20" customHeight="1" s="48"/>
    <row r="304" ht="20" customHeight="1" s="48"/>
    <row r="305" ht="20" customHeight="1" s="48"/>
    <row r="306" ht="20" customHeight="1" s="48"/>
    <row r="307" ht="20" customHeight="1" s="48"/>
    <row r="308" ht="20" customHeight="1" s="48"/>
    <row r="309" ht="20" customHeight="1" s="48"/>
    <row r="310" ht="20" customHeight="1" s="48"/>
    <row r="311" ht="20" customHeight="1" s="48"/>
    <row r="312" ht="20" customHeight="1" s="48"/>
    <row r="313" ht="20" customHeight="1" s="48"/>
    <row r="314" ht="20" customHeight="1" s="48"/>
    <row r="315" ht="20" customHeight="1" s="48"/>
    <row r="316" ht="20" customHeight="1" s="48"/>
    <row r="317" ht="20" customHeight="1" s="48"/>
    <row r="318" ht="20" customHeight="1" s="48"/>
    <row r="319" ht="20" customHeight="1" s="48"/>
    <row r="320" ht="20" customHeight="1" s="48"/>
    <row r="321" ht="20" customHeight="1" s="48"/>
    <row r="322" ht="20" customHeight="1" s="48"/>
    <row r="323" ht="20" customHeight="1" s="48"/>
    <row r="324" ht="20" customHeight="1" s="48"/>
    <row r="325" ht="20" customHeight="1" s="48"/>
    <row r="326" ht="20" customHeight="1" s="48"/>
    <row r="327" ht="20" customHeight="1" s="48"/>
    <row r="328" ht="20" customHeight="1" s="48"/>
    <row r="329" ht="20" customHeight="1" s="48"/>
    <row r="330" ht="20" customHeight="1" s="48"/>
    <row r="331" ht="20" customHeight="1" s="48"/>
    <row r="332" ht="20" customHeight="1" s="48"/>
    <row r="333" ht="20" customHeight="1" s="48"/>
    <row r="334" ht="20" customHeight="1" s="48"/>
    <row r="335" ht="20" customHeight="1" s="48"/>
    <row r="336" ht="20" customHeight="1" s="48"/>
    <row r="337" ht="20" customHeight="1" s="48"/>
    <row r="338" ht="20" customHeight="1" s="48"/>
    <row r="339" ht="20" customHeight="1" s="48"/>
    <row r="340" ht="20" customHeight="1" s="48"/>
    <row r="341" ht="20" customHeight="1" s="48"/>
    <row r="342" ht="20" customHeight="1" s="48"/>
    <row r="343" ht="20" customHeight="1" s="48"/>
    <row r="344" ht="20" customHeight="1" s="48"/>
    <row r="345" ht="20" customHeight="1" s="48"/>
    <row r="346" ht="20" customHeight="1" s="48"/>
    <row r="347" ht="20" customHeight="1" s="48"/>
    <row r="348" ht="20" customHeight="1" s="48"/>
    <row r="349" ht="20" customHeight="1" s="48"/>
    <row r="350" ht="20" customHeight="1" s="48"/>
    <row r="351" ht="20" customHeight="1" s="48"/>
    <row r="352" ht="20" customHeight="1" s="48"/>
    <row r="353" ht="20" customHeight="1" s="48"/>
    <row r="354" ht="20" customHeight="1" s="48"/>
    <row r="355" ht="20" customHeight="1" s="48"/>
    <row r="356" ht="20" customHeight="1" s="48"/>
    <row r="357" ht="20" customHeight="1" s="48"/>
    <row r="358" ht="20" customHeight="1" s="48"/>
    <row r="359" ht="20" customHeight="1" s="48"/>
    <row r="360" ht="20" customHeight="1" s="48"/>
    <row r="361" ht="20" customHeight="1" s="48"/>
    <row r="362" ht="20" customHeight="1" s="48"/>
    <row r="363" ht="20" customHeight="1" s="48"/>
    <row r="364" ht="20" customHeight="1" s="48"/>
    <row r="365" ht="20" customHeight="1" s="48"/>
    <row r="366" ht="20" customHeight="1" s="48"/>
    <row r="367" ht="20" customHeight="1" s="48"/>
    <row r="368" ht="20" customHeight="1" s="48"/>
    <row r="369" ht="20" customHeight="1" s="48"/>
    <row r="370" ht="20" customHeight="1" s="48"/>
    <row r="371" ht="20" customHeight="1" s="48"/>
    <row r="372" ht="20" customHeight="1" s="48"/>
    <row r="373" ht="20" customHeight="1" s="48"/>
    <row r="374" ht="20" customHeight="1" s="48"/>
    <row r="375" ht="20" customHeight="1" s="48"/>
    <row r="376" ht="20" customHeight="1" s="48"/>
    <row r="377" ht="20" customHeight="1" s="48"/>
    <row r="378" ht="20" customHeight="1" s="48"/>
    <row r="379" ht="20" customHeight="1" s="48"/>
    <row r="380" ht="20" customHeight="1" s="48"/>
    <row r="381" ht="20" customHeight="1" s="48"/>
    <row r="382" ht="20" customHeight="1" s="48"/>
    <row r="383" ht="20" customHeight="1" s="48"/>
    <row r="384" ht="20" customHeight="1" s="48"/>
    <row r="385" ht="20" customHeight="1" s="48"/>
    <row r="386" ht="20" customHeight="1" s="48"/>
    <row r="387" ht="20" customHeight="1" s="48"/>
    <row r="388" ht="20" customHeight="1" s="48"/>
    <row r="389" ht="20" customHeight="1" s="48"/>
    <row r="390" ht="20" customHeight="1" s="48"/>
    <row r="391" ht="20" customHeight="1" s="48"/>
    <row r="392" ht="20" customHeight="1" s="48"/>
    <row r="393" ht="20" customHeight="1" s="48"/>
    <row r="394" ht="20" customHeight="1" s="48"/>
    <row r="395" ht="20" customHeight="1" s="48"/>
    <row r="396" ht="20" customHeight="1" s="48"/>
    <row r="397" ht="20" customHeight="1" s="48"/>
    <row r="398" ht="20" customHeight="1" s="48"/>
    <row r="399" ht="20" customHeight="1" s="48"/>
    <row r="400" ht="20" customHeight="1" s="48"/>
    <row r="401" ht="20" customHeight="1" s="48"/>
    <row r="402" ht="20" customHeight="1" s="48"/>
    <row r="403" ht="20" customHeight="1" s="48"/>
    <row r="404" ht="20" customHeight="1" s="48"/>
    <row r="405" ht="20" customHeight="1" s="48"/>
    <row r="406" ht="20" customHeight="1" s="48"/>
    <row r="407" ht="20" customHeight="1" s="48"/>
    <row r="408" ht="20" customHeight="1" s="48"/>
    <row r="409" ht="20" customHeight="1" s="48"/>
    <row r="410" ht="20" customHeight="1" s="48"/>
    <row r="411" ht="20" customHeight="1" s="48"/>
    <row r="412" ht="20" customHeight="1" s="48"/>
    <row r="413" ht="20" customHeight="1" s="48"/>
    <row r="414" ht="20" customHeight="1" s="48"/>
    <row r="415" ht="20" customHeight="1" s="48"/>
    <row r="416" ht="20" customHeight="1" s="48"/>
    <row r="417" ht="20" customHeight="1" s="48"/>
    <row r="418" ht="20" customHeight="1" s="48"/>
    <row r="419" ht="20" customHeight="1" s="48"/>
    <row r="420" ht="20" customHeight="1" s="48"/>
    <row r="421" ht="20" customHeight="1" s="48"/>
    <row r="422" ht="20" customHeight="1" s="48"/>
    <row r="423" ht="20" customHeight="1" s="48"/>
    <row r="424" ht="20" customHeight="1" s="48"/>
    <row r="425" ht="20" customHeight="1" s="48"/>
    <row r="426" ht="20" customHeight="1" s="48"/>
    <row r="427" ht="20" customHeight="1" s="48"/>
    <row r="428" ht="20" customHeight="1" s="48"/>
    <row r="429" ht="20" customHeight="1" s="48"/>
    <row r="430" ht="20" customHeight="1" s="48"/>
    <row r="431" ht="20" customHeight="1" s="48"/>
    <row r="432" ht="20" customHeight="1" s="48"/>
    <row r="433" ht="20" customHeight="1" s="48"/>
    <row r="434" ht="20" customHeight="1" s="48"/>
    <row r="435" ht="20" customHeight="1" s="48"/>
    <row r="436" ht="20" customHeight="1" s="48"/>
    <row r="437" ht="20" customHeight="1" s="48"/>
    <row r="438" ht="20" customHeight="1" s="48"/>
    <row r="439" ht="20" customHeight="1" s="48"/>
    <row r="440" ht="20" customHeight="1" s="48"/>
    <row r="441" ht="20" customHeight="1" s="48"/>
    <row r="442" ht="20" customHeight="1" s="48"/>
    <row r="443" ht="20" customHeight="1" s="48"/>
    <row r="444" ht="20" customHeight="1" s="48"/>
    <row r="445" ht="20" customHeight="1" s="48"/>
    <row r="446" ht="20" customHeight="1" s="48"/>
    <row r="447" ht="20" customHeight="1" s="48"/>
    <row r="448" ht="20" customHeight="1" s="48"/>
    <row r="449" ht="20" customHeight="1" s="48"/>
    <row r="450" ht="20" customHeight="1" s="48"/>
    <row r="451" ht="20" customHeight="1" s="48"/>
    <row r="452" ht="20" customHeight="1" s="48"/>
    <row r="453" ht="20" customHeight="1" s="48"/>
    <row r="454" ht="20" customHeight="1" s="48"/>
    <row r="455" ht="20" customHeight="1" s="48"/>
    <row r="456" ht="20" customHeight="1" s="48"/>
    <row r="457" ht="20" customHeight="1" s="48"/>
    <row r="458" ht="20" customHeight="1" s="48"/>
    <row r="459" ht="20" customHeight="1" s="48"/>
    <row r="460" ht="20" customHeight="1" s="48"/>
    <row r="461" ht="20" customHeight="1" s="48"/>
    <row r="462" ht="20" customHeight="1" s="48"/>
    <row r="463" ht="20" customHeight="1" s="48"/>
    <row r="464" ht="20" customHeight="1" s="48"/>
    <row r="465" ht="20" customHeight="1" s="48"/>
    <row r="466" ht="20" customHeight="1" s="48"/>
    <row r="467" ht="20" customHeight="1" s="48"/>
    <row r="468" ht="20" customHeight="1" s="48"/>
    <row r="469" ht="20" customHeight="1" s="48"/>
    <row r="470" ht="20" customHeight="1" s="48"/>
    <row r="471" ht="20" customHeight="1" s="48"/>
    <row r="472" ht="20" customHeight="1" s="48"/>
    <row r="473" ht="20" customHeight="1" s="48"/>
    <row r="474" ht="20" customHeight="1" s="48"/>
    <row r="475" ht="20" customHeight="1" s="48"/>
    <row r="476" ht="20" customHeight="1" s="48"/>
    <row r="477" ht="20" customHeight="1" s="48"/>
    <row r="478" ht="20" customHeight="1" s="48"/>
    <row r="479" ht="20" customHeight="1" s="48"/>
    <row r="480" ht="20" customHeight="1" s="48"/>
    <row r="481" ht="20" customHeight="1" s="48"/>
    <row r="482" ht="20" customHeight="1" s="48"/>
    <row r="483" ht="20" customHeight="1" s="48"/>
    <row r="484" ht="20" customHeight="1" s="48"/>
    <row r="485" ht="20" customHeight="1" s="48"/>
    <row r="486" ht="20" customHeight="1" s="48"/>
    <row r="487" ht="20" customHeight="1" s="48"/>
    <row r="488" ht="20" customHeight="1" s="48"/>
    <row r="489" ht="20" customHeight="1" s="48"/>
    <row r="490" ht="20" customHeight="1" s="48"/>
    <row r="491" ht="20" customHeight="1" s="48"/>
    <row r="492" ht="20" customHeight="1" s="48"/>
    <row r="493" ht="20" customHeight="1" s="48"/>
    <row r="494" ht="20" customHeight="1" s="48"/>
    <row r="495" ht="20" customHeight="1" s="48"/>
    <row r="496" ht="20" customHeight="1" s="48"/>
    <row r="497" ht="20" customHeight="1" s="48"/>
    <row r="498" ht="20" customHeight="1" s="48"/>
    <row r="499" ht="20" customHeight="1" s="48"/>
    <row r="500" ht="20" customHeight="1" s="48"/>
  </sheetData>
  <mergeCells count="1">
    <mergeCell ref="A1:R1"/>
  </mergeCells>
  <conditionalFormatting sqref="L4:L52">
    <cfRule type="colorScale" priority="1">
      <colorScale>
        <cfvo type="min"/>
        <cfvo type="percentile" val="50"/>
        <cfvo type="max"/>
        <color rgb="FFFBE9E9"/>
        <color rgb="FFFFF4D6"/>
        <color rgb="FFE8F5EE"/>
      </colorScale>
    </cfRule>
  </conditionalFormatting>
  <dataValidations count="2">
    <dataValidation sqref="D4:J52" showDropDown="0" showInputMessage="0" showErrorMessage="0" allowBlank="0" operator="between">
      <formula1>1</formula1>
      <formula2>10</formula2>
    </dataValidation>
    <dataValidation sqref="M4:M52" showDropDown="0" showInputMessage="0" showErrorMessage="0" allowBlank="0" type="list">
      <formula1>"进入制作,继续研究,暂缓,淘汰"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T6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48" min="1" max="1"/>
    <col width="28" customWidth="1" style="48" min="2" max="2"/>
    <col width="12" customWidth="1" style="48" min="3" max="3"/>
    <col width="12" customWidth="1" style="48" min="4" max="4"/>
    <col width="12" customWidth="1" style="48" min="5" max="5"/>
    <col width="11" customWidth="1" style="48" min="6" max="6"/>
    <col width="24" customWidth="1" style="48" min="7" max="7"/>
    <col width="24" customWidth="1" style="48" min="8" max="8"/>
    <col width="10" customWidth="1" style="48" min="9" max="9"/>
    <col width="11" customWidth="1" style="48" min="10" max="10"/>
    <col width="8" customWidth="1" style="48" min="11" max="11"/>
    <col width="10" customWidth="1" style="48" min="12" max="12"/>
    <col width="12" customWidth="1" style="48" min="13" max="13"/>
    <col width="12" customWidth="1" style="48" min="14" max="14"/>
    <col width="12" customWidth="1" style="48" min="15" max="15"/>
    <col width="10" customWidth="1" style="48" min="16" max="16"/>
    <col width="10" customWidth="1" style="48" min="17" max="17"/>
    <col width="22" customWidth="1" style="48" min="18" max="18"/>
    <col width="12" customWidth="1" style="48" min="19" max="19"/>
    <col width="18" customWidth="1" style="48" min="20" max="20"/>
  </cols>
  <sheetData>
    <row r="1" ht="28" customHeight="1" s="48">
      <c r="A1" s="255" t="inlineStr">
        <is>
          <t>视频项目｜Project Portfolio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0" customHeight="1" s="48">
      <c r="A2" s="256" t="n"/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  <c r="O2" s="256" t="n"/>
      <c r="P2" s="256" t="n"/>
      <c r="Q2" s="256" t="n"/>
      <c r="R2" s="256" t="n"/>
      <c r="S2" s="256" t="n"/>
      <c r="T2" s="256" t="n"/>
    </row>
    <row r="3" ht="24" customHeight="1" s="48">
      <c r="A3" s="259" t="inlineStr">
        <is>
          <t>Video ID</t>
        </is>
      </c>
      <c r="B3" s="259" t="inlineStr">
        <is>
          <t>项目标题</t>
        </is>
      </c>
      <c r="C3" s="259" t="inlineStr">
        <is>
          <t>关联 Topic ID</t>
        </is>
      </c>
      <c r="D3" s="259" t="inlineStr">
        <is>
          <t>内容支柱</t>
        </is>
      </c>
      <c r="E3" s="259" t="inlineStr">
        <is>
          <t>视频形式</t>
        </is>
      </c>
      <c r="F3" s="259" t="inlineStr">
        <is>
          <t>目标时长(分钟)</t>
        </is>
      </c>
      <c r="G3" s="259" t="inlineStr">
        <is>
          <t>目标受众</t>
        </is>
      </c>
      <c r="H3" s="259" t="inlineStr">
        <is>
          <t>核心承诺</t>
        </is>
      </c>
      <c r="I3" s="259" t="inlineStr">
        <is>
          <t>机会评分</t>
        </is>
      </c>
      <c r="J3" s="259" t="inlineStr">
        <is>
          <t>项目状态</t>
        </is>
      </c>
      <c r="K3" s="259" t="inlineStr">
        <is>
          <t>优先级</t>
        </is>
      </c>
      <c r="L3" s="259" t="inlineStr">
        <is>
          <t>负责人</t>
        </is>
      </c>
      <c r="M3" s="259" t="inlineStr">
        <is>
          <t>开始日期</t>
        </is>
      </c>
      <c r="N3" s="259" t="inlineStr">
        <is>
          <t>目标发布日期</t>
        </is>
      </c>
      <c r="O3" s="259" t="inlineStr">
        <is>
          <t>实际发布日期</t>
        </is>
      </c>
      <c r="P3" s="259" t="inlineStr">
        <is>
          <t>总体完成度</t>
        </is>
      </c>
      <c r="Q3" s="259" t="inlineStr">
        <is>
          <t>剩余天数</t>
        </is>
      </c>
      <c r="R3" s="259" t="inlineStr">
        <is>
          <t>项目文件夹/链接</t>
        </is>
      </c>
      <c r="S3" s="259" t="inlineStr">
        <is>
          <t>最后更新</t>
        </is>
      </c>
      <c r="T3" s="259" t="inlineStr">
        <is>
          <t>备注</t>
        </is>
      </c>
    </row>
    <row r="4" ht="22" customHeight="1" s="48">
      <c r="A4" s="260" t="inlineStr">
        <is>
          <t>YT-001</t>
        </is>
      </c>
      <c r="B4" s="260" t="inlineStr">
        <is>
          <t>温柔未来城市的一天</t>
        </is>
      </c>
      <c r="C4" s="260" t="inlineStr">
        <is>
          <t>TOP-001</t>
        </is>
      </c>
      <c r="D4" s="260" t="inlineStr">
        <is>
          <t>未来生活</t>
        </is>
      </c>
      <c r="E4" s="260" t="inlineStr">
        <is>
          <t>视觉散文</t>
        </is>
      </c>
      <c r="F4" s="260" t="n">
        <v>8</v>
      </c>
      <c r="G4" s="260" t="inlineStr">
        <is>
          <t>喜欢科技、电影美学与未来生活想象的年轻观众</t>
        </is>
      </c>
      <c r="H4" s="260" t="inlineStr">
        <is>
          <t>让观众在 8 分钟内感受到一个人与科技和谐共存的未来日常</t>
        </is>
      </c>
      <c r="I4" s="260" t="n">
        <v>8.4</v>
      </c>
      <c r="J4" s="260" t="inlineStr">
        <is>
          <t>进行中</t>
        </is>
      </c>
      <c r="K4" s="260" t="inlineStr">
        <is>
          <t>P0</t>
        </is>
      </c>
      <c r="L4" s="260" t="inlineStr">
        <is>
          <t>Gedi</t>
        </is>
      </c>
      <c r="M4" s="287" t="n">
        <v>46233</v>
      </c>
      <c r="N4" s="287" t="n">
        <v>46246</v>
      </c>
      <c r="O4" s="287" t="str"/>
      <c r="P4" s="286">
        <f>IFERROR(SUMIF('任务计划'!$A$2:$A$500,A4,'任务计划'!$P$2:$P$500)/COUNTIF('任务计划'!$A$2:$A$500,A4),0)</f>
        <v/>
      </c>
      <c r="Q4" s="288">
        <f>IF(N4="","",N4-TODAY())</f>
        <v/>
      </c>
      <c r="R4" s="260" t="inlineStr">
        <is>
          <t>https://drive.google.com/</t>
        </is>
      </c>
      <c r="S4" s="260" t="inlineStr">
        <is>
          <t>2026-07-30</t>
        </is>
      </c>
      <c r="T4" s="260" t="inlineStr">
        <is>
          <t>示例项目，可直接替换</t>
        </is>
      </c>
    </row>
    <row r="5" ht="22" customHeight="1" s="48">
      <c r="A5" s="261" t="str"/>
      <c r="B5" s="261" t="str"/>
      <c r="C5" s="261" t="str"/>
      <c r="D5" s="261" t="str"/>
      <c r="E5" s="261" t="str"/>
      <c r="F5" s="261" t="str"/>
      <c r="G5" s="261" t="str"/>
      <c r="H5" s="261" t="str"/>
      <c r="I5" s="261" t="str"/>
      <c r="J5" s="261" t="str"/>
      <c r="K5" s="261" t="str"/>
      <c r="L5" s="261" t="str"/>
      <c r="M5" s="285" t="str"/>
      <c r="N5" s="285" t="str"/>
      <c r="O5" s="285" t="str"/>
      <c r="P5" s="284">
        <f>IFERROR(SUMIF('任务计划'!$A$2:$A$500,A5,'任务计划'!$P$2:$P$500)/COUNTIF('任务计划'!$A$2:$A$500,A5),0)</f>
        <v/>
      </c>
      <c r="Q5" s="289">
        <f>IF(N5="","",N5-TODAY())</f>
        <v/>
      </c>
      <c r="R5" s="261" t="str"/>
      <c r="S5" s="261" t="str"/>
      <c r="T5" s="261" t="str"/>
    </row>
    <row r="6" ht="22" customHeight="1" s="48">
      <c r="A6" s="260" t="str"/>
      <c r="B6" s="260" t="str"/>
      <c r="C6" s="260" t="str"/>
      <c r="D6" s="260" t="str"/>
      <c r="E6" s="260" t="str"/>
      <c r="F6" s="260" t="str"/>
      <c r="G6" s="260" t="str"/>
      <c r="H6" s="260" t="str"/>
      <c r="I6" s="260" t="str"/>
      <c r="J6" s="260" t="str"/>
      <c r="K6" s="260" t="str"/>
      <c r="L6" s="260" t="str"/>
      <c r="M6" s="287" t="str"/>
      <c r="N6" s="287" t="str"/>
      <c r="O6" s="287" t="str"/>
      <c r="P6" s="286">
        <f>IFERROR(SUMIF('任务计划'!$A$2:$A$500,A6,'任务计划'!$P$2:$P$500)/COUNTIF('任务计划'!$A$2:$A$500,A6),0)</f>
        <v/>
      </c>
      <c r="Q6" s="288">
        <f>IF(N6="","",N6-TODAY())</f>
        <v/>
      </c>
      <c r="R6" s="260" t="str"/>
      <c r="S6" s="260" t="str"/>
      <c r="T6" s="260" t="str"/>
    </row>
    <row r="7" ht="22" customHeight="1" s="48">
      <c r="A7" s="261" t="str"/>
      <c r="B7" s="261" t="str"/>
      <c r="C7" s="261" t="str"/>
      <c r="D7" s="261" t="str"/>
      <c r="E7" s="261" t="str"/>
      <c r="F7" s="261" t="str"/>
      <c r="G7" s="261" t="str"/>
      <c r="H7" s="261" t="str"/>
      <c r="I7" s="261" t="str"/>
      <c r="J7" s="261" t="str"/>
      <c r="K7" s="261" t="str"/>
      <c r="L7" s="261" t="str"/>
      <c r="M7" s="285" t="str"/>
      <c r="N7" s="285" t="str"/>
      <c r="O7" s="285" t="str"/>
      <c r="P7" s="284">
        <f>IFERROR(SUMIF('任务计划'!$A$2:$A$500,A7,'任务计划'!$P$2:$P$500)/COUNTIF('任务计划'!$A$2:$A$500,A7),0)</f>
        <v/>
      </c>
      <c r="Q7" s="289">
        <f>IF(N7="","",N7-TODAY())</f>
        <v/>
      </c>
      <c r="R7" s="261" t="str"/>
      <c r="S7" s="261" t="str"/>
      <c r="T7" s="261" t="str"/>
    </row>
    <row r="8" ht="22" customHeight="1" s="48">
      <c r="A8" s="260" t="str"/>
      <c r="B8" s="260" t="str"/>
      <c r="C8" s="260" t="str"/>
      <c r="D8" s="260" t="str"/>
      <c r="E8" s="260" t="str"/>
      <c r="F8" s="260" t="str"/>
      <c r="G8" s="260" t="str"/>
      <c r="H8" s="260" t="str"/>
      <c r="I8" s="260" t="str"/>
      <c r="J8" s="260" t="str"/>
      <c r="K8" s="260" t="str"/>
      <c r="L8" s="260" t="str"/>
      <c r="M8" s="287" t="str"/>
      <c r="N8" s="287" t="str"/>
      <c r="O8" s="287" t="str"/>
      <c r="P8" s="286">
        <f>IFERROR(SUMIF('任务计划'!$A$2:$A$500,A8,'任务计划'!$P$2:$P$500)/COUNTIF('任务计划'!$A$2:$A$500,A8),0)</f>
        <v/>
      </c>
      <c r="Q8" s="288">
        <f>IF(N8="","",N8-TODAY())</f>
        <v/>
      </c>
      <c r="R8" s="260" t="str"/>
      <c r="S8" s="260" t="str"/>
      <c r="T8" s="260" t="str"/>
    </row>
    <row r="9" ht="22" customHeight="1" s="48">
      <c r="A9" s="261" t="str"/>
      <c r="B9" s="261" t="str"/>
      <c r="C9" s="261" t="str"/>
      <c r="D9" s="261" t="str"/>
      <c r="E9" s="261" t="str"/>
      <c r="F9" s="261" t="str"/>
      <c r="G9" s="261" t="str"/>
      <c r="H9" s="261" t="str"/>
      <c r="I9" s="261" t="str"/>
      <c r="J9" s="261" t="str"/>
      <c r="K9" s="261" t="str"/>
      <c r="L9" s="261" t="str"/>
      <c r="M9" s="285" t="str"/>
      <c r="N9" s="285" t="str"/>
      <c r="O9" s="285" t="str"/>
      <c r="P9" s="284">
        <f>IFERROR(SUMIF('任务计划'!$A$2:$A$500,A9,'任务计划'!$P$2:$P$500)/COUNTIF('任务计划'!$A$2:$A$500,A9),0)</f>
        <v/>
      </c>
      <c r="Q9" s="289">
        <f>IF(N9="","",N9-TODAY())</f>
        <v/>
      </c>
      <c r="R9" s="261" t="str"/>
      <c r="S9" s="261" t="str"/>
      <c r="T9" s="261" t="str"/>
    </row>
    <row r="10" ht="22" customHeight="1" s="48">
      <c r="A10" s="260" t="str"/>
      <c r="B10" s="260" t="str"/>
      <c r="C10" s="260" t="str"/>
      <c r="D10" s="260" t="str"/>
      <c r="E10" s="260" t="str"/>
      <c r="F10" s="260" t="str"/>
      <c r="G10" s="260" t="str"/>
      <c r="H10" s="260" t="str"/>
      <c r="I10" s="260" t="str"/>
      <c r="J10" s="260" t="str"/>
      <c r="K10" s="260" t="str"/>
      <c r="L10" s="260" t="str"/>
      <c r="M10" s="287" t="str"/>
      <c r="N10" s="287" t="str"/>
      <c r="O10" s="287" t="str"/>
      <c r="P10" s="286">
        <f>IFERROR(SUMIF('任务计划'!$A$2:$A$500,A10,'任务计划'!$P$2:$P$500)/COUNTIF('任务计划'!$A$2:$A$500,A10),0)</f>
        <v/>
      </c>
      <c r="Q10" s="288">
        <f>IF(N10="","",N10-TODAY())</f>
        <v/>
      </c>
      <c r="R10" s="260" t="str"/>
      <c r="S10" s="260" t="str"/>
      <c r="T10" s="260" t="str"/>
    </row>
    <row r="11" ht="22" customHeight="1" s="48">
      <c r="A11" s="261" t="str"/>
      <c r="B11" s="261" t="str"/>
      <c r="C11" s="261" t="str"/>
      <c r="D11" s="261" t="str"/>
      <c r="E11" s="261" t="str"/>
      <c r="F11" s="261" t="str"/>
      <c r="G11" s="261" t="str"/>
      <c r="H11" s="261" t="str"/>
      <c r="I11" s="261" t="str"/>
      <c r="J11" s="261" t="str"/>
      <c r="K11" s="261" t="str"/>
      <c r="L11" s="261" t="str"/>
      <c r="M11" s="285" t="str"/>
      <c r="N11" s="285" t="str"/>
      <c r="O11" s="285" t="str"/>
      <c r="P11" s="284">
        <f>IFERROR(SUMIF('任务计划'!$A$2:$A$500,A11,'任务计划'!$P$2:$P$500)/COUNTIF('任务计划'!$A$2:$A$500,A11),0)</f>
        <v/>
      </c>
      <c r="Q11" s="289">
        <f>IF(N11="","",N11-TODAY())</f>
        <v/>
      </c>
      <c r="R11" s="261" t="str"/>
      <c r="S11" s="261" t="str"/>
      <c r="T11" s="261" t="str"/>
    </row>
    <row r="12" ht="22" customHeight="1" s="48">
      <c r="A12" s="260" t="str"/>
      <c r="B12" s="260" t="str"/>
      <c r="C12" s="260" t="str"/>
      <c r="D12" s="260" t="str"/>
      <c r="E12" s="260" t="str"/>
      <c r="F12" s="260" t="str"/>
      <c r="G12" s="260" t="str"/>
      <c r="H12" s="260" t="str"/>
      <c r="I12" s="260" t="str"/>
      <c r="J12" s="260" t="str"/>
      <c r="K12" s="260" t="str"/>
      <c r="L12" s="260" t="str"/>
      <c r="M12" s="287" t="str"/>
      <c r="N12" s="287" t="str"/>
      <c r="O12" s="287" t="str"/>
      <c r="P12" s="286">
        <f>IFERROR(SUMIF('任务计划'!$A$2:$A$500,A12,'任务计划'!$P$2:$P$500)/COUNTIF('任务计划'!$A$2:$A$500,A12),0)</f>
        <v/>
      </c>
      <c r="Q12" s="288">
        <f>IF(N12="","",N12-TODAY())</f>
        <v/>
      </c>
      <c r="R12" s="260" t="str"/>
      <c r="S12" s="260" t="str"/>
      <c r="T12" s="260" t="str"/>
    </row>
    <row r="13" ht="22" customHeight="1" s="48">
      <c r="A13" s="261" t="str"/>
      <c r="B13" s="261" t="str"/>
      <c r="C13" s="261" t="str"/>
      <c r="D13" s="261" t="str"/>
      <c r="E13" s="261" t="str"/>
      <c r="F13" s="261" t="str"/>
      <c r="G13" s="261" t="str"/>
      <c r="H13" s="261" t="str"/>
      <c r="I13" s="261" t="str"/>
      <c r="J13" s="261" t="str"/>
      <c r="K13" s="261" t="str"/>
      <c r="L13" s="261" t="str"/>
      <c r="M13" s="285" t="str"/>
      <c r="N13" s="285" t="str"/>
      <c r="O13" s="285" t="str"/>
      <c r="P13" s="284">
        <f>IFERROR(SUMIF('任务计划'!$A$2:$A$500,A13,'任务计划'!$P$2:$P$500)/COUNTIF('任务计划'!$A$2:$A$500,A13),0)</f>
        <v/>
      </c>
      <c r="Q13" s="289">
        <f>IF(N13="","",N13-TODAY())</f>
        <v/>
      </c>
      <c r="R13" s="261" t="str"/>
      <c r="S13" s="261" t="str"/>
      <c r="T13" s="261" t="str"/>
    </row>
    <row r="14" ht="22" customHeight="1" s="48">
      <c r="A14" s="260" t="str"/>
      <c r="B14" s="260" t="str"/>
      <c r="C14" s="260" t="str"/>
      <c r="D14" s="260" t="str"/>
      <c r="E14" s="260" t="str"/>
      <c r="F14" s="260" t="str"/>
      <c r="G14" s="260" t="str"/>
      <c r="H14" s="260" t="str"/>
      <c r="I14" s="260" t="str"/>
      <c r="J14" s="260" t="str"/>
      <c r="K14" s="260" t="str"/>
      <c r="L14" s="260" t="str"/>
      <c r="M14" s="287" t="str"/>
      <c r="N14" s="287" t="str"/>
      <c r="O14" s="287" t="str"/>
      <c r="P14" s="286">
        <f>IFERROR(SUMIF('任务计划'!$A$2:$A$500,A14,'任务计划'!$P$2:$P$500)/COUNTIF('任务计划'!$A$2:$A$500,A14),0)</f>
        <v/>
      </c>
      <c r="Q14" s="288">
        <f>IF(N14="","",N14-TODAY())</f>
        <v/>
      </c>
      <c r="R14" s="260" t="str"/>
      <c r="S14" s="260" t="str"/>
      <c r="T14" s="260" t="str"/>
    </row>
    <row r="15" ht="22" customHeight="1" s="48">
      <c r="A15" s="261" t="str"/>
      <c r="B15" s="261" t="str"/>
      <c r="C15" s="261" t="str"/>
      <c r="D15" s="261" t="str"/>
      <c r="E15" s="261" t="str"/>
      <c r="F15" s="261" t="str"/>
      <c r="G15" s="261" t="str"/>
      <c r="H15" s="261" t="str"/>
      <c r="I15" s="261" t="str"/>
      <c r="J15" s="261" t="str"/>
      <c r="K15" s="261" t="str"/>
      <c r="L15" s="261" t="str"/>
      <c r="M15" s="285" t="str"/>
      <c r="N15" s="285" t="str"/>
      <c r="O15" s="285" t="str"/>
      <c r="P15" s="284">
        <f>IFERROR(SUMIF('任务计划'!$A$2:$A$500,A15,'任务计划'!$P$2:$P$500)/COUNTIF('任务计划'!$A$2:$A$500,A15),0)</f>
        <v/>
      </c>
      <c r="Q15" s="289">
        <f>IF(N15="","",N15-TODAY())</f>
        <v/>
      </c>
      <c r="R15" s="261" t="str"/>
      <c r="S15" s="261" t="str"/>
      <c r="T15" s="261" t="str"/>
    </row>
    <row r="16" ht="22" customHeight="1" s="48">
      <c r="A16" s="260" t="str"/>
      <c r="B16" s="260" t="str"/>
      <c r="C16" s="260" t="str"/>
      <c r="D16" s="260" t="str"/>
      <c r="E16" s="260" t="str"/>
      <c r="F16" s="260" t="str"/>
      <c r="G16" s="260" t="str"/>
      <c r="H16" s="260" t="str"/>
      <c r="I16" s="260" t="str"/>
      <c r="J16" s="260" t="str"/>
      <c r="K16" s="260" t="str"/>
      <c r="L16" s="260" t="str"/>
      <c r="M16" s="287" t="str"/>
      <c r="N16" s="287" t="str"/>
      <c r="O16" s="287" t="str"/>
      <c r="P16" s="286">
        <f>IFERROR(SUMIF('任务计划'!$A$2:$A$500,A16,'任务计划'!$P$2:$P$500)/COUNTIF('任务计划'!$A$2:$A$500,A16),0)</f>
        <v/>
      </c>
      <c r="Q16" s="288">
        <f>IF(N16="","",N16-TODAY())</f>
        <v/>
      </c>
      <c r="R16" s="260" t="str"/>
      <c r="S16" s="260" t="str"/>
      <c r="T16" s="260" t="str"/>
    </row>
    <row r="17" ht="22" customHeight="1" s="48">
      <c r="A17" s="261" t="str"/>
      <c r="B17" s="261" t="str"/>
      <c r="C17" s="261" t="str"/>
      <c r="D17" s="261" t="str"/>
      <c r="E17" s="261" t="str"/>
      <c r="F17" s="261" t="str"/>
      <c r="G17" s="261" t="str"/>
      <c r="H17" s="261" t="str"/>
      <c r="I17" s="261" t="str"/>
      <c r="J17" s="261" t="str"/>
      <c r="K17" s="261" t="str"/>
      <c r="L17" s="261" t="str"/>
      <c r="M17" s="285" t="str"/>
      <c r="N17" s="285" t="str"/>
      <c r="O17" s="285" t="str"/>
      <c r="P17" s="284">
        <f>IFERROR(SUMIF('任务计划'!$A$2:$A$500,A17,'任务计划'!$P$2:$P$500)/COUNTIF('任务计划'!$A$2:$A$500,A17),0)</f>
        <v/>
      </c>
      <c r="Q17" s="289">
        <f>IF(N17="","",N17-TODAY())</f>
        <v/>
      </c>
      <c r="R17" s="261" t="str"/>
      <c r="S17" s="261" t="str"/>
      <c r="T17" s="261" t="str"/>
    </row>
    <row r="18" ht="22" customHeight="1" s="48">
      <c r="A18" s="260" t="str"/>
      <c r="B18" s="260" t="str"/>
      <c r="C18" s="260" t="str"/>
      <c r="D18" s="260" t="str"/>
      <c r="E18" s="260" t="str"/>
      <c r="F18" s="260" t="str"/>
      <c r="G18" s="260" t="str"/>
      <c r="H18" s="260" t="str"/>
      <c r="I18" s="260" t="str"/>
      <c r="J18" s="260" t="str"/>
      <c r="K18" s="260" t="str"/>
      <c r="L18" s="260" t="str"/>
      <c r="M18" s="287" t="str"/>
      <c r="N18" s="287" t="str"/>
      <c r="O18" s="287" t="str"/>
      <c r="P18" s="286">
        <f>IFERROR(SUMIF('任务计划'!$A$2:$A$500,A18,'任务计划'!$P$2:$P$500)/COUNTIF('任务计划'!$A$2:$A$500,A18),0)</f>
        <v/>
      </c>
      <c r="Q18" s="288">
        <f>IF(N18="","",N18-TODAY())</f>
        <v/>
      </c>
      <c r="R18" s="260" t="str"/>
      <c r="S18" s="260" t="str"/>
      <c r="T18" s="260" t="str"/>
    </row>
    <row r="19" ht="22" customHeight="1" s="48">
      <c r="A19" s="261" t="str"/>
      <c r="B19" s="261" t="str"/>
      <c r="C19" s="261" t="str"/>
      <c r="D19" s="261" t="str"/>
      <c r="E19" s="261" t="str"/>
      <c r="F19" s="261" t="str"/>
      <c r="G19" s="261" t="str"/>
      <c r="H19" s="261" t="str"/>
      <c r="I19" s="261" t="str"/>
      <c r="J19" s="261" t="str"/>
      <c r="K19" s="261" t="str"/>
      <c r="L19" s="261" t="str"/>
      <c r="M19" s="285" t="str"/>
      <c r="N19" s="285" t="str"/>
      <c r="O19" s="285" t="str"/>
      <c r="P19" s="284">
        <f>IFERROR(SUMIF('任务计划'!$A$2:$A$500,A19,'任务计划'!$P$2:$P$500)/COUNTIF('任务计划'!$A$2:$A$500,A19),0)</f>
        <v/>
      </c>
      <c r="Q19" s="289">
        <f>IF(N19="","",N19-TODAY())</f>
        <v/>
      </c>
      <c r="R19" s="261" t="str"/>
      <c r="S19" s="261" t="str"/>
      <c r="T19" s="261" t="str"/>
    </row>
    <row r="20" ht="22" customHeight="1" s="48">
      <c r="A20" s="260" t="str"/>
      <c r="B20" s="260" t="str"/>
      <c r="C20" s="260" t="str"/>
      <c r="D20" s="260" t="str"/>
      <c r="E20" s="260" t="str"/>
      <c r="F20" s="260" t="str"/>
      <c r="G20" s="260" t="str"/>
      <c r="H20" s="260" t="str"/>
      <c r="I20" s="260" t="str"/>
      <c r="J20" s="260" t="str"/>
      <c r="K20" s="260" t="str"/>
      <c r="L20" s="260" t="str"/>
      <c r="M20" s="287" t="str"/>
      <c r="N20" s="287" t="str"/>
      <c r="O20" s="287" t="str"/>
      <c r="P20" s="286">
        <f>IFERROR(SUMIF('任务计划'!$A$2:$A$500,A20,'任务计划'!$P$2:$P$500)/COUNTIF('任务计划'!$A$2:$A$500,A20),0)</f>
        <v/>
      </c>
      <c r="Q20" s="288">
        <f>IF(N20="","",N20-TODAY())</f>
        <v/>
      </c>
      <c r="R20" s="260" t="str"/>
      <c r="S20" s="260" t="str"/>
      <c r="T20" s="260" t="str"/>
    </row>
    <row r="21" ht="22" customHeight="1" s="48">
      <c r="A21" s="261" t="str"/>
      <c r="B21" s="261" t="str"/>
      <c r="C21" s="261" t="str"/>
      <c r="D21" s="261" t="str"/>
      <c r="E21" s="261" t="str"/>
      <c r="F21" s="261" t="str"/>
      <c r="G21" s="261" t="str"/>
      <c r="H21" s="261" t="str"/>
      <c r="I21" s="261" t="str"/>
      <c r="J21" s="261" t="str"/>
      <c r="K21" s="261" t="str"/>
      <c r="L21" s="261" t="str"/>
      <c r="M21" s="285" t="str"/>
      <c r="N21" s="285" t="str"/>
      <c r="O21" s="285" t="str"/>
      <c r="P21" s="284">
        <f>IFERROR(SUMIF('任务计划'!$A$2:$A$500,A21,'任务计划'!$P$2:$P$500)/COUNTIF('任务计划'!$A$2:$A$500,A21),0)</f>
        <v/>
      </c>
      <c r="Q21" s="289">
        <f>IF(N21="","",N21-TODAY())</f>
        <v/>
      </c>
      <c r="R21" s="261" t="str"/>
      <c r="S21" s="261" t="str"/>
      <c r="T21" s="261" t="str"/>
    </row>
    <row r="22" ht="22" customHeight="1" s="48">
      <c r="A22" s="260" t="str"/>
      <c r="B22" s="260" t="str"/>
      <c r="C22" s="260" t="str"/>
      <c r="D22" s="260" t="str"/>
      <c r="E22" s="260" t="str"/>
      <c r="F22" s="260" t="str"/>
      <c r="G22" s="260" t="str"/>
      <c r="H22" s="260" t="str"/>
      <c r="I22" s="260" t="str"/>
      <c r="J22" s="260" t="str"/>
      <c r="K22" s="260" t="str"/>
      <c r="L22" s="260" t="str"/>
      <c r="M22" s="287" t="str"/>
      <c r="N22" s="287" t="str"/>
      <c r="O22" s="287" t="str"/>
      <c r="P22" s="286">
        <f>IFERROR(SUMIF('任务计划'!$A$2:$A$500,A22,'任务计划'!$P$2:$P$500)/COUNTIF('任务计划'!$A$2:$A$500,A22),0)</f>
        <v/>
      </c>
      <c r="Q22" s="288">
        <f>IF(N22="","",N22-TODAY())</f>
        <v/>
      </c>
      <c r="R22" s="260" t="str"/>
      <c r="S22" s="260" t="str"/>
      <c r="T22" s="260" t="str"/>
    </row>
    <row r="23" ht="22" customHeight="1" s="48">
      <c r="A23" s="261" t="str"/>
      <c r="B23" s="261" t="str"/>
      <c r="C23" s="261" t="str"/>
      <c r="D23" s="261" t="str"/>
      <c r="E23" s="261" t="str"/>
      <c r="F23" s="261" t="str"/>
      <c r="G23" s="261" t="str"/>
      <c r="H23" s="261" t="str"/>
      <c r="I23" s="261" t="str"/>
      <c r="J23" s="261" t="str"/>
      <c r="K23" s="261" t="str"/>
      <c r="L23" s="261" t="str"/>
      <c r="M23" s="285" t="str"/>
      <c r="N23" s="285" t="str"/>
      <c r="O23" s="285" t="str"/>
      <c r="P23" s="284">
        <f>IFERROR(SUMIF('任务计划'!$A$2:$A$500,A23,'任务计划'!$P$2:$P$500)/COUNTIF('任务计划'!$A$2:$A$500,A23),0)</f>
        <v/>
      </c>
      <c r="Q23" s="289">
        <f>IF(N23="","",N23-TODAY())</f>
        <v/>
      </c>
      <c r="R23" s="261" t="str"/>
      <c r="S23" s="261" t="str"/>
      <c r="T23" s="261" t="str"/>
    </row>
    <row r="24" ht="22" customHeight="1" s="48">
      <c r="A24" s="260" t="str"/>
      <c r="B24" s="260" t="str"/>
      <c r="C24" s="260" t="str"/>
      <c r="D24" s="260" t="str"/>
      <c r="E24" s="260" t="str"/>
      <c r="F24" s="260" t="str"/>
      <c r="G24" s="260" t="str"/>
      <c r="H24" s="260" t="str"/>
      <c r="I24" s="260" t="str"/>
      <c r="J24" s="260" t="str"/>
      <c r="K24" s="260" t="str"/>
      <c r="L24" s="260" t="str"/>
      <c r="M24" s="287" t="str"/>
      <c r="N24" s="287" t="str"/>
      <c r="O24" s="287" t="str"/>
      <c r="P24" s="286">
        <f>IFERROR(SUMIF('任务计划'!$A$2:$A$500,A24,'任务计划'!$P$2:$P$500)/COUNTIF('任务计划'!$A$2:$A$500,A24),0)</f>
        <v/>
      </c>
      <c r="Q24" s="288">
        <f>IF(N24="","",N24-TODAY())</f>
        <v/>
      </c>
      <c r="R24" s="260" t="str"/>
      <c r="S24" s="260" t="str"/>
      <c r="T24" s="260" t="str"/>
    </row>
    <row r="25" ht="22" customHeight="1" s="48">
      <c r="A25" s="261" t="str"/>
      <c r="B25" s="261" t="str"/>
      <c r="C25" s="261" t="str"/>
      <c r="D25" s="261" t="str"/>
      <c r="E25" s="261" t="str"/>
      <c r="F25" s="261" t="str"/>
      <c r="G25" s="261" t="str"/>
      <c r="H25" s="261" t="str"/>
      <c r="I25" s="261" t="str"/>
      <c r="J25" s="261" t="str"/>
      <c r="K25" s="261" t="str"/>
      <c r="L25" s="261" t="str"/>
      <c r="M25" s="285" t="str"/>
      <c r="N25" s="285" t="str"/>
      <c r="O25" s="285" t="str"/>
      <c r="P25" s="284">
        <f>IFERROR(SUMIF('任务计划'!$A$2:$A$500,A25,'任务计划'!$P$2:$P$500)/COUNTIF('任务计划'!$A$2:$A$500,A25),0)</f>
        <v/>
      </c>
      <c r="Q25" s="289">
        <f>IF(N25="","",N25-TODAY())</f>
        <v/>
      </c>
      <c r="R25" s="261" t="str"/>
      <c r="S25" s="261" t="str"/>
      <c r="T25" s="261" t="str"/>
    </row>
    <row r="26" ht="22" customHeight="1" s="48">
      <c r="A26" s="260" t="str"/>
      <c r="B26" s="260" t="str"/>
      <c r="C26" s="260" t="str"/>
      <c r="D26" s="260" t="str"/>
      <c r="E26" s="260" t="str"/>
      <c r="F26" s="260" t="str"/>
      <c r="G26" s="260" t="str"/>
      <c r="H26" s="260" t="str"/>
      <c r="I26" s="260" t="str"/>
      <c r="J26" s="260" t="str"/>
      <c r="K26" s="260" t="str"/>
      <c r="L26" s="260" t="str"/>
      <c r="M26" s="287" t="str"/>
      <c r="N26" s="287" t="str"/>
      <c r="O26" s="287" t="str"/>
      <c r="P26" s="286">
        <f>IFERROR(SUMIF('任务计划'!$A$2:$A$500,A26,'任务计划'!$P$2:$P$500)/COUNTIF('任务计划'!$A$2:$A$500,A26),0)</f>
        <v/>
      </c>
      <c r="Q26" s="288">
        <f>IF(N26="","",N26-TODAY())</f>
        <v/>
      </c>
      <c r="R26" s="260" t="str"/>
      <c r="S26" s="260" t="str"/>
      <c r="T26" s="260" t="str"/>
    </row>
    <row r="27" ht="22" customHeight="1" s="48">
      <c r="A27" s="261" t="str"/>
      <c r="B27" s="261" t="str"/>
      <c r="C27" s="261" t="str"/>
      <c r="D27" s="261" t="str"/>
      <c r="E27" s="261" t="str"/>
      <c r="F27" s="261" t="str"/>
      <c r="G27" s="261" t="str"/>
      <c r="H27" s="261" t="str"/>
      <c r="I27" s="261" t="str"/>
      <c r="J27" s="261" t="str"/>
      <c r="K27" s="261" t="str"/>
      <c r="L27" s="261" t="str"/>
      <c r="M27" s="285" t="str"/>
      <c r="N27" s="285" t="str"/>
      <c r="O27" s="285" t="str"/>
      <c r="P27" s="284">
        <f>IFERROR(SUMIF('任务计划'!$A$2:$A$500,A27,'任务计划'!$P$2:$P$500)/COUNTIF('任务计划'!$A$2:$A$500,A27),0)</f>
        <v/>
      </c>
      <c r="Q27" s="289">
        <f>IF(N27="","",N27-TODAY())</f>
        <v/>
      </c>
      <c r="R27" s="261" t="str"/>
      <c r="S27" s="261" t="str"/>
      <c r="T27" s="261" t="str"/>
    </row>
    <row r="28" ht="22" customHeight="1" s="48">
      <c r="A28" s="260" t="str"/>
      <c r="B28" s="260" t="str"/>
      <c r="C28" s="260" t="str"/>
      <c r="D28" s="260" t="str"/>
      <c r="E28" s="260" t="str"/>
      <c r="F28" s="260" t="str"/>
      <c r="G28" s="260" t="str"/>
      <c r="H28" s="260" t="str"/>
      <c r="I28" s="260" t="str"/>
      <c r="J28" s="260" t="str"/>
      <c r="K28" s="260" t="str"/>
      <c r="L28" s="260" t="str"/>
      <c r="M28" s="287" t="str"/>
      <c r="N28" s="287" t="str"/>
      <c r="O28" s="287" t="str"/>
      <c r="P28" s="286">
        <f>IFERROR(SUMIF('任务计划'!$A$2:$A$500,A28,'任务计划'!$P$2:$P$500)/COUNTIF('任务计划'!$A$2:$A$500,A28),0)</f>
        <v/>
      </c>
      <c r="Q28" s="288">
        <f>IF(N28="","",N28-TODAY())</f>
        <v/>
      </c>
      <c r="R28" s="260" t="str"/>
      <c r="S28" s="260" t="str"/>
      <c r="T28" s="260" t="str"/>
    </row>
    <row r="29" ht="22" customHeight="1" s="48">
      <c r="A29" s="261" t="str"/>
      <c r="B29" s="261" t="str"/>
      <c r="C29" s="261" t="str"/>
      <c r="D29" s="261" t="str"/>
      <c r="E29" s="261" t="str"/>
      <c r="F29" s="261" t="str"/>
      <c r="G29" s="261" t="str"/>
      <c r="H29" s="261" t="str"/>
      <c r="I29" s="261" t="str"/>
      <c r="J29" s="261" t="str"/>
      <c r="K29" s="261" t="str"/>
      <c r="L29" s="261" t="str"/>
      <c r="M29" s="285" t="str"/>
      <c r="N29" s="285" t="str"/>
      <c r="O29" s="285" t="str"/>
      <c r="P29" s="284">
        <f>IFERROR(SUMIF('任务计划'!$A$2:$A$500,A29,'任务计划'!$P$2:$P$500)/COUNTIF('任务计划'!$A$2:$A$500,A29),0)</f>
        <v/>
      </c>
      <c r="Q29" s="289">
        <f>IF(N29="","",N29-TODAY())</f>
        <v/>
      </c>
      <c r="R29" s="261" t="str"/>
      <c r="S29" s="261" t="str"/>
      <c r="T29" s="261" t="str"/>
    </row>
    <row r="30" ht="22" customHeight="1" s="48">
      <c r="A30" s="260" t="str"/>
      <c r="B30" s="260" t="str"/>
      <c r="C30" s="260" t="str"/>
      <c r="D30" s="260" t="str"/>
      <c r="E30" s="260" t="str"/>
      <c r="F30" s="260" t="str"/>
      <c r="G30" s="260" t="str"/>
      <c r="H30" s="260" t="str"/>
      <c r="I30" s="260" t="str"/>
      <c r="J30" s="260" t="str"/>
      <c r="K30" s="260" t="str"/>
      <c r="L30" s="260" t="str"/>
      <c r="M30" s="287" t="str"/>
      <c r="N30" s="287" t="str"/>
      <c r="O30" s="287" t="str"/>
      <c r="P30" s="286">
        <f>IFERROR(SUMIF('任务计划'!$A$2:$A$500,A30,'任务计划'!$P$2:$P$500)/COUNTIF('任务计划'!$A$2:$A$500,A30),0)</f>
        <v/>
      </c>
      <c r="Q30" s="288">
        <f>IF(N30="","",N30-TODAY())</f>
        <v/>
      </c>
      <c r="R30" s="260" t="str"/>
      <c r="S30" s="260" t="str"/>
      <c r="T30" s="260" t="str"/>
    </row>
    <row r="31" ht="22" customHeight="1" s="48">
      <c r="A31" s="261" t="str"/>
      <c r="B31" s="261" t="str"/>
      <c r="C31" s="261" t="str"/>
      <c r="D31" s="261" t="str"/>
      <c r="E31" s="261" t="str"/>
      <c r="F31" s="261" t="str"/>
      <c r="G31" s="261" t="str"/>
      <c r="H31" s="261" t="str"/>
      <c r="I31" s="261" t="str"/>
      <c r="J31" s="261" t="str"/>
      <c r="K31" s="261" t="str"/>
      <c r="L31" s="261" t="str"/>
      <c r="M31" s="285" t="str"/>
      <c r="N31" s="285" t="str"/>
      <c r="O31" s="285" t="str"/>
      <c r="P31" s="284">
        <f>IFERROR(SUMIF('任务计划'!$A$2:$A$500,A31,'任务计划'!$P$2:$P$500)/COUNTIF('任务计划'!$A$2:$A$500,A31),0)</f>
        <v/>
      </c>
      <c r="Q31" s="289">
        <f>IF(N31="","",N31-TODAY())</f>
        <v/>
      </c>
      <c r="R31" s="261" t="str"/>
      <c r="S31" s="261" t="str"/>
      <c r="T31" s="261" t="str"/>
    </row>
    <row r="32" ht="22" customHeight="1" s="48">
      <c r="A32" s="260" t="str"/>
      <c r="B32" s="260" t="str"/>
      <c r="C32" s="260" t="str"/>
      <c r="D32" s="260" t="str"/>
      <c r="E32" s="260" t="str"/>
      <c r="F32" s="260" t="str"/>
      <c r="G32" s="260" t="str"/>
      <c r="H32" s="260" t="str"/>
      <c r="I32" s="260" t="str"/>
      <c r="J32" s="260" t="str"/>
      <c r="K32" s="260" t="str"/>
      <c r="L32" s="260" t="str"/>
      <c r="M32" s="287" t="str"/>
      <c r="N32" s="287" t="str"/>
      <c r="O32" s="287" t="str"/>
      <c r="P32" s="286">
        <f>IFERROR(SUMIF('任务计划'!$A$2:$A$500,A32,'任务计划'!$P$2:$P$500)/COUNTIF('任务计划'!$A$2:$A$500,A32),0)</f>
        <v/>
      </c>
      <c r="Q32" s="288">
        <f>IF(N32="","",N32-TODAY())</f>
        <v/>
      </c>
      <c r="R32" s="260" t="str"/>
      <c r="S32" s="260" t="str"/>
      <c r="T32" s="260" t="str"/>
    </row>
    <row r="33" ht="22" customHeight="1" s="48">
      <c r="A33" s="261" t="str"/>
      <c r="B33" s="261" t="str"/>
      <c r="C33" s="261" t="str"/>
      <c r="D33" s="261" t="str"/>
      <c r="E33" s="261" t="str"/>
      <c r="F33" s="261" t="str"/>
      <c r="G33" s="261" t="str"/>
      <c r="H33" s="261" t="str"/>
      <c r="I33" s="261" t="str"/>
      <c r="J33" s="261" t="str"/>
      <c r="K33" s="261" t="str"/>
      <c r="L33" s="261" t="str"/>
      <c r="M33" s="285" t="str"/>
      <c r="N33" s="285" t="str"/>
      <c r="O33" s="285" t="str"/>
      <c r="P33" s="284">
        <f>IFERROR(SUMIF('任务计划'!$A$2:$A$500,A33,'任务计划'!$P$2:$P$500)/COUNTIF('任务计划'!$A$2:$A$500,A33),0)</f>
        <v/>
      </c>
      <c r="Q33" s="289">
        <f>IF(N33="","",N33-TODAY())</f>
        <v/>
      </c>
      <c r="R33" s="261" t="str"/>
      <c r="S33" s="261" t="str"/>
      <c r="T33" s="261" t="str"/>
    </row>
    <row r="34" ht="22" customHeight="1" s="48">
      <c r="A34" s="260" t="str"/>
      <c r="B34" s="260" t="str"/>
      <c r="C34" s="260" t="str"/>
      <c r="D34" s="260" t="str"/>
      <c r="E34" s="260" t="str"/>
      <c r="F34" s="260" t="str"/>
      <c r="G34" s="260" t="str"/>
      <c r="H34" s="260" t="str"/>
      <c r="I34" s="260" t="str"/>
      <c r="J34" s="260" t="str"/>
      <c r="K34" s="260" t="str"/>
      <c r="L34" s="260" t="str"/>
      <c r="M34" s="287" t="str"/>
      <c r="N34" s="287" t="str"/>
      <c r="O34" s="287" t="str"/>
      <c r="P34" s="286">
        <f>IFERROR(SUMIF('任务计划'!$A$2:$A$500,A34,'任务计划'!$P$2:$P$500)/COUNTIF('任务计划'!$A$2:$A$500,A34),0)</f>
        <v/>
      </c>
      <c r="Q34" s="288">
        <f>IF(N34="","",N34-TODAY())</f>
        <v/>
      </c>
      <c r="R34" s="260" t="str"/>
      <c r="S34" s="260" t="str"/>
      <c r="T34" s="260" t="str"/>
    </row>
    <row r="35" ht="22" customHeight="1" s="48">
      <c r="A35" s="261" t="str"/>
      <c r="B35" s="261" t="str"/>
      <c r="C35" s="261" t="str"/>
      <c r="D35" s="261" t="str"/>
      <c r="E35" s="261" t="str"/>
      <c r="F35" s="261" t="str"/>
      <c r="G35" s="261" t="str"/>
      <c r="H35" s="261" t="str"/>
      <c r="I35" s="261" t="str"/>
      <c r="J35" s="261" t="str"/>
      <c r="K35" s="261" t="str"/>
      <c r="L35" s="261" t="str"/>
      <c r="M35" s="285" t="str"/>
      <c r="N35" s="285" t="str"/>
      <c r="O35" s="285" t="str"/>
      <c r="P35" s="284">
        <f>IFERROR(SUMIF('任务计划'!$A$2:$A$500,A35,'任务计划'!$P$2:$P$500)/COUNTIF('任务计划'!$A$2:$A$500,A35),0)</f>
        <v/>
      </c>
      <c r="Q35" s="289">
        <f>IF(N35="","",N35-TODAY())</f>
        <v/>
      </c>
      <c r="R35" s="261" t="str"/>
      <c r="S35" s="261" t="str"/>
      <c r="T35" s="261" t="str"/>
    </row>
    <row r="36" ht="22" customHeight="1" s="48">
      <c r="A36" s="260" t="str"/>
      <c r="B36" s="260" t="str"/>
      <c r="C36" s="260" t="str"/>
      <c r="D36" s="260" t="str"/>
      <c r="E36" s="260" t="str"/>
      <c r="F36" s="260" t="str"/>
      <c r="G36" s="260" t="str"/>
      <c r="H36" s="260" t="str"/>
      <c r="I36" s="260" t="str"/>
      <c r="J36" s="260" t="str"/>
      <c r="K36" s="260" t="str"/>
      <c r="L36" s="260" t="str"/>
      <c r="M36" s="287" t="str"/>
      <c r="N36" s="287" t="str"/>
      <c r="O36" s="287" t="str"/>
      <c r="P36" s="286">
        <f>IFERROR(SUMIF('任务计划'!$A$2:$A$500,A36,'任务计划'!$P$2:$P$500)/COUNTIF('任务计划'!$A$2:$A$500,A36),0)</f>
        <v/>
      </c>
      <c r="Q36" s="288">
        <f>IF(N36="","",N36-TODAY())</f>
        <v/>
      </c>
      <c r="R36" s="260" t="str"/>
      <c r="S36" s="260" t="str"/>
      <c r="T36" s="260" t="str"/>
    </row>
    <row r="37" ht="22" customHeight="1" s="48">
      <c r="A37" s="261" t="str"/>
      <c r="B37" s="261" t="str"/>
      <c r="C37" s="261" t="str"/>
      <c r="D37" s="261" t="str"/>
      <c r="E37" s="261" t="str"/>
      <c r="F37" s="261" t="str"/>
      <c r="G37" s="261" t="str"/>
      <c r="H37" s="261" t="str"/>
      <c r="I37" s="261" t="str"/>
      <c r="J37" s="261" t="str"/>
      <c r="K37" s="261" t="str"/>
      <c r="L37" s="261" t="str"/>
      <c r="M37" s="285" t="str"/>
      <c r="N37" s="285" t="str"/>
      <c r="O37" s="285" t="str"/>
      <c r="P37" s="284">
        <f>IFERROR(SUMIF('任务计划'!$A$2:$A$500,A37,'任务计划'!$P$2:$P$500)/COUNTIF('任务计划'!$A$2:$A$500,A37),0)</f>
        <v/>
      </c>
      <c r="Q37" s="289">
        <f>IF(N37="","",N37-TODAY())</f>
        <v/>
      </c>
      <c r="R37" s="261" t="str"/>
      <c r="S37" s="261" t="str"/>
      <c r="T37" s="261" t="str"/>
    </row>
    <row r="38" ht="22" customHeight="1" s="48">
      <c r="A38" s="260" t="str"/>
      <c r="B38" s="260" t="str"/>
      <c r="C38" s="260" t="str"/>
      <c r="D38" s="260" t="str"/>
      <c r="E38" s="260" t="str"/>
      <c r="F38" s="260" t="str"/>
      <c r="G38" s="260" t="str"/>
      <c r="H38" s="260" t="str"/>
      <c r="I38" s="260" t="str"/>
      <c r="J38" s="260" t="str"/>
      <c r="K38" s="260" t="str"/>
      <c r="L38" s="260" t="str"/>
      <c r="M38" s="287" t="str"/>
      <c r="N38" s="287" t="str"/>
      <c r="O38" s="287" t="str"/>
      <c r="P38" s="286">
        <f>IFERROR(SUMIF('任务计划'!$A$2:$A$500,A38,'任务计划'!$P$2:$P$500)/COUNTIF('任务计划'!$A$2:$A$500,A38),0)</f>
        <v/>
      </c>
      <c r="Q38" s="288">
        <f>IF(N38="","",N38-TODAY())</f>
        <v/>
      </c>
      <c r="R38" s="260" t="str"/>
      <c r="S38" s="260" t="str"/>
      <c r="T38" s="260" t="str"/>
    </row>
    <row r="39" ht="22" customHeight="1" s="48">
      <c r="A39" s="261" t="str"/>
      <c r="B39" s="261" t="str"/>
      <c r="C39" s="261" t="str"/>
      <c r="D39" s="261" t="str"/>
      <c r="E39" s="261" t="str"/>
      <c r="F39" s="261" t="str"/>
      <c r="G39" s="261" t="str"/>
      <c r="H39" s="261" t="str"/>
      <c r="I39" s="261" t="str"/>
      <c r="J39" s="261" t="str"/>
      <c r="K39" s="261" t="str"/>
      <c r="L39" s="261" t="str"/>
      <c r="M39" s="285" t="str"/>
      <c r="N39" s="285" t="str"/>
      <c r="O39" s="285" t="str"/>
      <c r="P39" s="284">
        <f>IFERROR(SUMIF('任务计划'!$A$2:$A$500,A39,'任务计划'!$P$2:$P$500)/COUNTIF('任务计划'!$A$2:$A$500,A39),0)</f>
        <v/>
      </c>
      <c r="Q39" s="289">
        <f>IF(N39="","",N39-TODAY())</f>
        <v/>
      </c>
      <c r="R39" s="261" t="str"/>
      <c r="S39" s="261" t="str"/>
      <c r="T39" s="261" t="str"/>
    </row>
    <row r="40" ht="22" customHeight="1" s="48">
      <c r="A40" s="260" t="str"/>
      <c r="B40" s="260" t="str"/>
      <c r="C40" s="260" t="str"/>
      <c r="D40" s="260" t="str"/>
      <c r="E40" s="260" t="str"/>
      <c r="F40" s="260" t="str"/>
      <c r="G40" s="260" t="str"/>
      <c r="H40" s="260" t="str"/>
      <c r="I40" s="260" t="str"/>
      <c r="J40" s="260" t="str"/>
      <c r="K40" s="260" t="str"/>
      <c r="L40" s="260" t="str"/>
      <c r="M40" s="287" t="str"/>
      <c r="N40" s="287" t="str"/>
      <c r="O40" s="287" t="str"/>
      <c r="P40" s="286">
        <f>IFERROR(SUMIF('任务计划'!$A$2:$A$500,A40,'任务计划'!$P$2:$P$500)/COUNTIF('任务计划'!$A$2:$A$500,A40),0)</f>
        <v/>
      </c>
      <c r="Q40" s="288">
        <f>IF(N40="","",N40-TODAY())</f>
        <v/>
      </c>
      <c r="R40" s="260" t="str"/>
      <c r="S40" s="260" t="str"/>
      <c r="T40" s="260" t="str"/>
    </row>
    <row r="41" ht="22" customHeight="1" s="48">
      <c r="A41" s="261" t="str"/>
      <c r="B41" s="261" t="str"/>
      <c r="C41" s="261" t="str"/>
      <c r="D41" s="261" t="str"/>
      <c r="E41" s="261" t="str"/>
      <c r="F41" s="261" t="str"/>
      <c r="G41" s="261" t="str"/>
      <c r="H41" s="261" t="str"/>
      <c r="I41" s="261" t="str"/>
      <c r="J41" s="261" t="str"/>
      <c r="K41" s="261" t="str"/>
      <c r="L41" s="261" t="str"/>
      <c r="M41" s="285" t="str"/>
      <c r="N41" s="285" t="str"/>
      <c r="O41" s="285" t="str"/>
      <c r="P41" s="284">
        <f>IFERROR(SUMIF('任务计划'!$A$2:$A$500,A41,'任务计划'!$P$2:$P$500)/COUNTIF('任务计划'!$A$2:$A$500,A41),0)</f>
        <v/>
      </c>
      <c r="Q41" s="289">
        <f>IF(N41="","",N41-TODAY())</f>
        <v/>
      </c>
      <c r="R41" s="261" t="str"/>
      <c r="S41" s="261" t="str"/>
      <c r="T41" s="261" t="str"/>
    </row>
    <row r="42" ht="22" customHeight="1" s="48">
      <c r="A42" s="260" t="str"/>
      <c r="B42" s="260" t="str"/>
      <c r="C42" s="260" t="str"/>
      <c r="D42" s="260" t="str"/>
      <c r="E42" s="260" t="str"/>
      <c r="F42" s="260" t="str"/>
      <c r="G42" s="260" t="str"/>
      <c r="H42" s="260" t="str"/>
      <c r="I42" s="260" t="str"/>
      <c r="J42" s="260" t="str"/>
      <c r="K42" s="260" t="str"/>
      <c r="L42" s="260" t="str"/>
      <c r="M42" s="287" t="str"/>
      <c r="N42" s="287" t="str"/>
      <c r="O42" s="287" t="str"/>
      <c r="P42" s="286">
        <f>IFERROR(SUMIF('任务计划'!$A$2:$A$500,A42,'任务计划'!$P$2:$P$500)/COUNTIF('任务计划'!$A$2:$A$500,A42),0)</f>
        <v/>
      </c>
      <c r="Q42" s="288">
        <f>IF(N42="","",N42-TODAY())</f>
        <v/>
      </c>
      <c r="R42" s="260" t="str"/>
      <c r="S42" s="260" t="str"/>
      <c r="T42" s="260" t="str"/>
    </row>
    <row r="43" ht="22" customHeight="1" s="48">
      <c r="A43" s="261" t="str"/>
      <c r="B43" s="261" t="str"/>
      <c r="C43" s="261" t="str"/>
      <c r="D43" s="261" t="str"/>
      <c r="E43" s="261" t="str"/>
      <c r="F43" s="261" t="str"/>
      <c r="G43" s="261" t="str"/>
      <c r="H43" s="261" t="str"/>
      <c r="I43" s="261" t="str"/>
      <c r="J43" s="261" t="str"/>
      <c r="K43" s="261" t="str"/>
      <c r="L43" s="261" t="str"/>
      <c r="M43" s="285" t="str"/>
      <c r="N43" s="285" t="str"/>
      <c r="O43" s="285" t="str"/>
      <c r="P43" s="284">
        <f>IFERROR(SUMIF('任务计划'!$A$2:$A$500,A43,'任务计划'!$P$2:$P$500)/COUNTIF('任务计划'!$A$2:$A$500,A43),0)</f>
        <v/>
      </c>
      <c r="Q43" s="289">
        <f>IF(N43="","",N43-TODAY())</f>
        <v/>
      </c>
      <c r="R43" s="261" t="str"/>
      <c r="S43" s="261" t="str"/>
      <c r="T43" s="261" t="str"/>
    </row>
    <row r="44" ht="22" customHeight="1" s="48">
      <c r="A44" s="260" t="str"/>
      <c r="B44" s="260" t="str"/>
      <c r="C44" s="260" t="str"/>
      <c r="D44" s="260" t="str"/>
      <c r="E44" s="260" t="str"/>
      <c r="F44" s="260" t="str"/>
      <c r="G44" s="260" t="str"/>
      <c r="H44" s="260" t="str"/>
      <c r="I44" s="260" t="str"/>
      <c r="J44" s="260" t="str"/>
      <c r="K44" s="260" t="str"/>
      <c r="L44" s="260" t="str"/>
      <c r="M44" s="287" t="str"/>
      <c r="N44" s="287" t="str"/>
      <c r="O44" s="287" t="str"/>
      <c r="P44" s="286">
        <f>IFERROR(SUMIF('任务计划'!$A$2:$A$500,A44,'任务计划'!$P$2:$P$500)/COUNTIF('任务计划'!$A$2:$A$500,A44),0)</f>
        <v/>
      </c>
      <c r="Q44" s="288">
        <f>IF(N44="","",N44-TODAY())</f>
        <v/>
      </c>
      <c r="R44" s="260" t="str"/>
      <c r="S44" s="260" t="str"/>
      <c r="T44" s="260" t="str"/>
    </row>
    <row r="45" ht="22" customHeight="1" s="48">
      <c r="A45" s="261" t="str"/>
      <c r="B45" s="261" t="str"/>
      <c r="C45" s="261" t="str"/>
      <c r="D45" s="261" t="str"/>
      <c r="E45" s="261" t="str"/>
      <c r="F45" s="261" t="str"/>
      <c r="G45" s="261" t="str"/>
      <c r="H45" s="261" t="str"/>
      <c r="I45" s="261" t="str"/>
      <c r="J45" s="261" t="str"/>
      <c r="K45" s="261" t="str"/>
      <c r="L45" s="261" t="str"/>
      <c r="M45" s="285" t="str"/>
      <c r="N45" s="285" t="str"/>
      <c r="O45" s="285" t="str"/>
      <c r="P45" s="284">
        <f>IFERROR(SUMIF('任务计划'!$A$2:$A$500,A45,'任务计划'!$P$2:$P$500)/COUNTIF('任务计划'!$A$2:$A$500,A45),0)</f>
        <v/>
      </c>
      <c r="Q45" s="289">
        <f>IF(N45="","",N45-TODAY())</f>
        <v/>
      </c>
      <c r="R45" s="261" t="str"/>
      <c r="S45" s="261" t="str"/>
      <c r="T45" s="261" t="str"/>
    </row>
    <row r="46" ht="22" customHeight="1" s="48">
      <c r="A46" s="260" t="str"/>
      <c r="B46" s="260" t="str"/>
      <c r="C46" s="260" t="str"/>
      <c r="D46" s="260" t="str"/>
      <c r="E46" s="260" t="str"/>
      <c r="F46" s="260" t="str"/>
      <c r="G46" s="260" t="str"/>
      <c r="H46" s="260" t="str"/>
      <c r="I46" s="260" t="str"/>
      <c r="J46" s="260" t="str"/>
      <c r="K46" s="260" t="str"/>
      <c r="L46" s="260" t="str"/>
      <c r="M46" s="287" t="str"/>
      <c r="N46" s="287" t="str"/>
      <c r="O46" s="287" t="str"/>
      <c r="P46" s="286">
        <f>IFERROR(SUMIF('任务计划'!$A$2:$A$500,A46,'任务计划'!$P$2:$P$500)/COUNTIF('任务计划'!$A$2:$A$500,A46),0)</f>
        <v/>
      </c>
      <c r="Q46" s="288">
        <f>IF(N46="","",N46-TODAY())</f>
        <v/>
      </c>
      <c r="R46" s="260" t="str"/>
      <c r="S46" s="260" t="str"/>
      <c r="T46" s="260" t="str"/>
    </row>
    <row r="47" ht="22" customHeight="1" s="48">
      <c r="A47" s="261" t="str"/>
      <c r="B47" s="261" t="str"/>
      <c r="C47" s="261" t="str"/>
      <c r="D47" s="261" t="str"/>
      <c r="E47" s="261" t="str"/>
      <c r="F47" s="261" t="str"/>
      <c r="G47" s="261" t="str"/>
      <c r="H47" s="261" t="str"/>
      <c r="I47" s="261" t="str"/>
      <c r="J47" s="261" t="str"/>
      <c r="K47" s="261" t="str"/>
      <c r="L47" s="261" t="str"/>
      <c r="M47" s="285" t="str"/>
      <c r="N47" s="285" t="str"/>
      <c r="O47" s="285" t="str"/>
      <c r="P47" s="284">
        <f>IFERROR(SUMIF('任务计划'!$A$2:$A$500,A47,'任务计划'!$P$2:$P$500)/COUNTIF('任务计划'!$A$2:$A$500,A47),0)</f>
        <v/>
      </c>
      <c r="Q47" s="289">
        <f>IF(N47="","",N47-TODAY())</f>
        <v/>
      </c>
      <c r="R47" s="261" t="str"/>
      <c r="S47" s="261" t="str"/>
      <c r="T47" s="261" t="str"/>
    </row>
    <row r="48" ht="22" customHeight="1" s="48">
      <c r="A48" s="260" t="str"/>
      <c r="B48" s="260" t="str"/>
      <c r="C48" s="260" t="str"/>
      <c r="D48" s="260" t="str"/>
      <c r="E48" s="260" t="str"/>
      <c r="F48" s="260" t="str"/>
      <c r="G48" s="260" t="str"/>
      <c r="H48" s="260" t="str"/>
      <c r="I48" s="260" t="str"/>
      <c r="J48" s="260" t="str"/>
      <c r="K48" s="260" t="str"/>
      <c r="L48" s="260" t="str"/>
      <c r="M48" s="287" t="str"/>
      <c r="N48" s="287" t="str"/>
      <c r="O48" s="287" t="str"/>
      <c r="P48" s="286">
        <f>IFERROR(SUMIF('任务计划'!$A$2:$A$500,A48,'任务计划'!$P$2:$P$500)/COUNTIF('任务计划'!$A$2:$A$500,A48),0)</f>
        <v/>
      </c>
      <c r="Q48" s="288">
        <f>IF(N48="","",N48-TODAY())</f>
        <v/>
      </c>
      <c r="R48" s="260" t="str"/>
      <c r="S48" s="260" t="str"/>
      <c r="T48" s="260" t="str"/>
    </row>
    <row r="49" ht="22" customHeight="1" s="48">
      <c r="A49" s="261" t="str"/>
      <c r="B49" s="261" t="str"/>
      <c r="C49" s="261" t="str"/>
      <c r="D49" s="261" t="str"/>
      <c r="E49" s="261" t="str"/>
      <c r="F49" s="261" t="str"/>
      <c r="G49" s="261" t="str"/>
      <c r="H49" s="261" t="str"/>
      <c r="I49" s="261" t="str"/>
      <c r="J49" s="261" t="str"/>
      <c r="K49" s="261" t="str"/>
      <c r="L49" s="261" t="str"/>
      <c r="M49" s="285" t="str"/>
      <c r="N49" s="285" t="str"/>
      <c r="O49" s="285" t="str"/>
      <c r="P49" s="284">
        <f>IFERROR(SUMIF('任务计划'!$A$2:$A$500,A49,'任务计划'!$P$2:$P$500)/COUNTIF('任务计划'!$A$2:$A$500,A49),0)</f>
        <v/>
      </c>
      <c r="Q49" s="289">
        <f>IF(N49="","",N49-TODAY())</f>
        <v/>
      </c>
      <c r="R49" s="261" t="str"/>
      <c r="S49" s="261" t="str"/>
      <c r="T49" s="261" t="str"/>
    </row>
    <row r="50" ht="22" customHeight="1" s="48">
      <c r="A50" s="260" t="str"/>
      <c r="B50" s="260" t="str"/>
      <c r="C50" s="260" t="str"/>
      <c r="D50" s="260" t="str"/>
      <c r="E50" s="260" t="str"/>
      <c r="F50" s="260" t="str"/>
      <c r="G50" s="260" t="str"/>
      <c r="H50" s="260" t="str"/>
      <c r="I50" s="260" t="str"/>
      <c r="J50" s="260" t="str"/>
      <c r="K50" s="260" t="str"/>
      <c r="L50" s="260" t="str"/>
      <c r="M50" s="287" t="str"/>
      <c r="N50" s="287" t="str"/>
      <c r="O50" s="287" t="str"/>
      <c r="P50" s="286">
        <f>IFERROR(SUMIF('任务计划'!$A$2:$A$500,A50,'任务计划'!$P$2:$P$500)/COUNTIF('任务计划'!$A$2:$A$500,A50),0)</f>
        <v/>
      </c>
      <c r="Q50" s="288">
        <f>IF(N50="","",N50-TODAY())</f>
        <v/>
      </c>
      <c r="R50" s="260" t="str"/>
      <c r="S50" s="260" t="str"/>
      <c r="T50" s="260" t="str"/>
    </row>
    <row r="51" ht="22" customHeight="1" s="48">
      <c r="A51" s="261" t="str"/>
      <c r="B51" s="261" t="str"/>
      <c r="C51" s="261" t="str"/>
      <c r="D51" s="261" t="str"/>
      <c r="E51" s="261" t="str"/>
      <c r="F51" s="261" t="str"/>
      <c r="G51" s="261" t="str"/>
      <c r="H51" s="261" t="str"/>
      <c r="I51" s="261" t="str"/>
      <c r="J51" s="261" t="str"/>
      <c r="K51" s="261" t="str"/>
      <c r="L51" s="261" t="str"/>
      <c r="M51" s="285" t="str"/>
      <c r="N51" s="285" t="str"/>
      <c r="O51" s="285" t="str"/>
      <c r="P51" s="284">
        <f>IFERROR(SUMIF('任务计划'!$A$2:$A$500,A51,'任务计划'!$P$2:$P$500)/COUNTIF('任务计划'!$A$2:$A$500,A51),0)</f>
        <v/>
      </c>
      <c r="Q51" s="289">
        <f>IF(N51="","",N51-TODAY())</f>
        <v/>
      </c>
      <c r="R51" s="261" t="str"/>
      <c r="S51" s="261" t="str"/>
      <c r="T51" s="261" t="str"/>
    </row>
    <row r="52" ht="22" customHeight="1" s="48">
      <c r="A52" s="260" t="str"/>
      <c r="B52" s="260" t="str"/>
      <c r="C52" s="260" t="str"/>
      <c r="D52" s="260" t="str"/>
      <c r="E52" s="260" t="str"/>
      <c r="F52" s="260" t="str"/>
      <c r="G52" s="260" t="str"/>
      <c r="H52" s="260" t="str"/>
      <c r="I52" s="260" t="str"/>
      <c r="J52" s="260" t="str"/>
      <c r="K52" s="260" t="str"/>
      <c r="L52" s="260" t="str"/>
      <c r="M52" s="287" t="str"/>
      <c r="N52" s="287" t="str"/>
      <c r="O52" s="287" t="str"/>
      <c r="P52" s="286">
        <f>IFERROR(SUMIF('任务计划'!$A$2:$A$500,A52,'任务计划'!$P$2:$P$500)/COUNTIF('任务计划'!$A$2:$A$500,A52),0)</f>
        <v/>
      </c>
      <c r="Q52" s="288">
        <f>IF(N52="","",N52-TODAY())</f>
        <v/>
      </c>
      <c r="R52" s="260" t="str"/>
      <c r="S52" s="260" t="str"/>
      <c r="T52" s="260" t="str"/>
    </row>
    <row r="53" ht="22" customHeight="1" s="48">
      <c r="A53" s="261" t="n"/>
      <c r="B53" s="261" t="n"/>
      <c r="C53" s="261" t="n"/>
      <c r="D53" s="261" t="n"/>
      <c r="E53" s="261" t="n"/>
      <c r="F53" s="261" t="n"/>
      <c r="G53" s="261" t="n"/>
      <c r="H53" s="261" t="n"/>
      <c r="I53" s="261" t="n"/>
      <c r="J53" s="261" t="n"/>
      <c r="K53" s="261" t="n"/>
      <c r="L53" s="261" t="n"/>
      <c r="M53" s="261" t="n"/>
      <c r="N53" s="261" t="n"/>
      <c r="O53" s="261" t="n"/>
      <c r="P53" s="261" t="n"/>
      <c r="Q53" s="261" t="n"/>
      <c r="R53" s="261" t="n"/>
      <c r="S53" s="261" t="n"/>
      <c r="T53" s="261" t="n"/>
    </row>
    <row r="54" ht="22" customHeight="1" s="48">
      <c r="A54" s="260" t="n"/>
      <c r="B54" s="260" t="n"/>
      <c r="C54" s="260" t="n"/>
      <c r="D54" s="260" t="n"/>
      <c r="E54" s="260" t="n"/>
      <c r="F54" s="260" t="n"/>
      <c r="G54" s="260" t="n"/>
      <c r="H54" s="260" t="n"/>
      <c r="I54" s="260" t="n"/>
      <c r="J54" s="260" t="n"/>
      <c r="K54" s="260" t="n"/>
      <c r="L54" s="260" t="n"/>
      <c r="M54" s="260" t="n"/>
      <c r="N54" s="260" t="n"/>
      <c r="O54" s="260" t="n"/>
      <c r="P54" s="260" t="n"/>
      <c r="Q54" s="260" t="n"/>
      <c r="R54" s="260" t="n"/>
      <c r="S54" s="260" t="n"/>
      <c r="T54" s="260" t="n"/>
    </row>
    <row r="55" ht="22" customHeight="1" s="48">
      <c r="A55" s="261" t="n"/>
      <c r="B55" s="261" t="n"/>
      <c r="C55" s="261" t="n"/>
      <c r="D55" s="261" t="n"/>
      <c r="E55" s="261" t="n"/>
      <c r="F55" s="261" t="n"/>
      <c r="G55" s="261" t="n"/>
      <c r="H55" s="261" t="n"/>
      <c r="I55" s="261" t="n"/>
      <c r="J55" s="261" t="n"/>
      <c r="K55" s="261" t="n"/>
      <c r="L55" s="261" t="n"/>
      <c r="M55" s="261" t="n"/>
      <c r="N55" s="261" t="n"/>
      <c r="O55" s="261" t="n"/>
      <c r="P55" s="261" t="n"/>
      <c r="Q55" s="261" t="n"/>
      <c r="R55" s="261" t="n"/>
      <c r="S55" s="261" t="n"/>
      <c r="T55" s="261" t="n"/>
    </row>
    <row r="56" ht="22" customHeight="1" s="48">
      <c r="A56" s="260" t="n"/>
      <c r="B56" s="260" t="n"/>
      <c r="C56" s="260" t="n"/>
      <c r="D56" s="260" t="n"/>
      <c r="E56" s="260" t="n"/>
      <c r="F56" s="260" t="n"/>
      <c r="G56" s="260" t="n"/>
      <c r="H56" s="260" t="n"/>
      <c r="I56" s="260" t="n"/>
      <c r="J56" s="260" t="n"/>
      <c r="K56" s="260" t="n"/>
      <c r="L56" s="260" t="n"/>
      <c r="M56" s="260" t="n"/>
      <c r="N56" s="260" t="n"/>
      <c r="O56" s="260" t="n"/>
      <c r="P56" s="260" t="n"/>
      <c r="Q56" s="260" t="n"/>
      <c r="R56" s="260" t="n"/>
      <c r="S56" s="260" t="n"/>
      <c r="T56" s="260" t="n"/>
    </row>
    <row r="57" ht="22" customHeight="1" s="48">
      <c r="A57" s="261" t="n"/>
      <c r="B57" s="261" t="n"/>
      <c r="C57" s="261" t="n"/>
      <c r="D57" s="261" t="n"/>
      <c r="E57" s="261" t="n"/>
      <c r="F57" s="261" t="n"/>
      <c r="G57" s="261" t="n"/>
      <c r="H57" s="261" t="n"/>
      <c r="I57" s="261" t="n"/>
      <c r="J57" s="261" t="n"/>
      <c r="K57" s="261" t="n"/>
      <c r="L57" s="261" t="n"/>
      <c r="M57" s="261" t="n"/>
      <c r="N57" s="261" t="n"/>
      <c r="O57" s="261" t="n"/>
      <c r="P57" s="261" t="n"/>
      <c r="Q57" s="261" t="n"/>
      <c r="R57" s="261" t="n"/>
      <c r="S57" s="261" t="n"/>
      <c r="T57" s="261" t="n"/>
    </row>
    <row r="58" ht="22" customHeight="1" s="48">
      <c r="A58" s="260" t="n"/>
      <c r="B58" s="260" t="n"/>
      <c r="C58" s="260" t="n"/>
      <c r="D58" s="260" t="n"/>
      <c r="E58" s="260" t="n"/>
      <c r="F58" s="260" t="n"/>
      <c r="G58" s="260" t="n"/>
      <c r="H58" s="260" t="n"/>
      <c r="I58" s="260" t="n"/>
      <c r="J58" s="260" t="n"/>
      <c r="K58" s="260" t="n"/>
      <c r="L58" s="260" t="n"/>
      <c r="M58" s="260" t="n"/>
      <c r="N58" s="260" t="n"/>
      <c r="O58" s="260" t="n"/>
      <c r="P58" s="260" t="n"/>
      <c r="Q58" s="260" t="n"/>
      <c r="R58" s="260" t="n"/>
      <c r="S58" s="260" t="n"/>
      <c r="T58" s="260" t="n"/>
    </row>
    <row r="59" ht="22" customHeight="1" s="48">
      <c r="A59" s="261" t="n"/>
      <c r="B59" s="261" t="n"/>
      <c r="C59" s="261" t="n"/>
      <c r="D59" s="261" t="n"/>
      <c r="E59" s="261" t="n"/>
      <c r="F59" s="261" t="n"/>
      <c r="G59" s="261" t="n"/>
      <c r="H59" s="261" t="n"/>
      <c r="I59" s="261" t="n"/>
      <c r="J59" s="261" t="n"/>
      <c r="K59" s="261" t="n"/>
      <c r="L59" s="261" t="n"/>
      <c r="M59" s="261" t="n"/>
      <c r="N59" s="261" t="n"/>
      <c r="O59" s="261" t="n"/>
      <c r="P59" s="261" t="n"/>
      <c r="Q59" s="261" t="n"/>
      <c r="R59" s="261" t="n"/>
      <c r="S59" s="261" t="n"/>
      <c r="T59" s="261" t="n"/>
    </row>
    <row r="60" ht="22" customHeight="1" s="48">
      <c r="A60" s="260" t="n"/>
      <c r="B60" s="260" t="n"/>
      <c r="C60" s="260" t="n"/>
      <c r="D60" s="260" t="n"/>
      <c r="E60" s="260" t="n"/>
      <c r="F60" s="260" t="n"/>
      <c r="G60" s="260" t="n"/>
      <c r="H60" s="260" t="n"/>
      <c r="I60" s="260" t="n"/>
      <c r="J60" s="260" t="n"/>
      <c r="K60" s="260" t="n"/>
      <c r="L60" s="260" t="n"/>
      <c r="M60" s="260" t="n"/>
      <c r="N60" s="260" t="n"/>
      <c r="O60" s="260" t="n"/>
      <c r="P60" s="260" t="n"/>
      <c r="Q60" s="260" t="n"/>
      <c r="R60" s="260" t="n"/>
      <c r="S60" s="260" t="n"/>
      <c r="T60" s="260" t="n"/>
    </row>
    <row r="61" ht="20" customHeight="1" s="48"/>
    <row r="62" ht="20" customHeight="1" s="48"/>
    <row r="63" ht="20" customHeight="1" s="48"/>
    <row r="64" ht="20" customHeight="1" s="48"/>
    <row r="65" ht="20" customHeight="1" s="48"/>
    <row r="66" ht="20" customHeight="1" s="48"/>
    <row r="67" ht="20" customHeight="1" s="48"/>
    <row r="68" ht="20" customHeight="1" s="48"/>
    <row r="69" ht="20" customHeight="1" s="48"/>
    <row r="70" ht="20" customHeight="1" s="48"/>
    <row r="71" ht="20" customHeight="1" s="48"/>
    <row r="72" ht="20" customHeight="1" s="48"/>
    <row r="73" ht="20" customHeight="1" s="48"/>
    <row r="74" ht="20" customHeight="1" s="48"/>
    <row r="75" ht="20" customHeight="1" s="48"/>
    <row r="76" ht="20" customHeight="1" s="48"/>
    <row r="77" ht="20" customHeight="1" s="48"/>
    <row r="78" ht="20" customHeight="1" s="48"/>
    <row r="79" ht="20" customHeight="1" s="48"/>
    <row r="80" ht="20" customHeight="1" s="48"/>
    <row r="81" ht="20" customHeight="1" s="48"/>
    <row r="82" ht="20" customHeight="1" s="48"/>
    <row r="83" ht="20" customHeight="1" s="48"/>
    <row r="84" ht="20" customHeight="1" s="48"/>
    <row r="85" ht="20" customHeight="1" s="48"/>
    <row r="86" ht="20" customHeight="1" s="48"/>
    <row r="87" ht="20" customHeight="1" s="48"/>
    <row r="88" ht="20" customHeight="1" s="48"/>
    <row r="89" ht="20" customHeight="1" s="48"/>
    <row r="90" ht="20" customHeight="1" s="48"/>
    <row r="91" ht="20" customHeight="1" s="48"/>
    <row r="92" ht="20" customHeight="1" s="48"/>
    <row r="93" ht="20" customHeight="1" s="48"/>
    <row r="94" ht="20" customHeight="1" s="48"/>
    <row r="95" ht="20" customHeight="1" s="48"/>
    <row r="96" ht="20" customHeight="1" s="48"/>
    <row r="97" ht="20" customHeight="1" s="48"/>
    <row r="98" ht="20" customHeight="1" s="48"/>
    <row r="99" ht="20" customHeight="1" s="48"/>
    <row r="100" ht="20" customHeight="1" s="48"/>
    <row r="101" ht="20" customHeight="1" s="48"/>
    <row r="102" ht="20" customHeight="1" s="48"/>
    <row r="103" ht="20" customHeight="1" s="48"/>
    <row r="104" ht="20" customHeight="1" s="48"/>
    <row r="105" ht="20" customHeight="1" s="48"/>
    <row r="106" ht="20" customHeight="1" s="48"/>
    <row r="107" ht="20" customHeight="1" s="48"/>
    <row r="108" ht="20" customHeight="1" s="48"/>
    <row r="109" ht="20" customHeight="1" s="48"/>
    <row r="110" ht="20" customHeight="1" s="48"/>
    <row r="111" ht="20" customHeight="1" s="48"/>
    <row r="112" ht="20" customHeight="1" s="48"/>
    <row r="113" ht="20" customHeight="1" s="48"/>
    <row r="114" ht="20" customHeight="1" s="48"/>
    <row r="115" ht="20" customHeight="1" s="48"/>
    <row r="116" ht="20" customHeight="1" s="48"/>
    <row r="117" ht="20" customHeight="1" s="48"/>
    <row r="118" ht="20" customHeight="1" s="48"/>
    <row r="119" ht="20" customHeight="1" s="48"/>
    <row r="120" ht="20" customHeight="1" s="48"/>
    <row r="121" ht="20" customHeight="1" s="48"/>
    <row r="122" ht="20" customHeight="1" s="48"/>
    <row r="123" ht="20" customHeight="1" s="48"/>
    <row r="124" ht="20" customHeight="1" s="48"/>
    <row r="125" ht="20" customHeight="1" s="48"/>
    <row r="126" ht="20" customHeight="1" s="48"/>
    <row r="127" ht="20" customHeight="1" s="48"/>
    <row r="128" ht="20" customHeight="1" s="48"/>
    <row r="129" ht="20" customHeight="1" s="48"/>
    <row r="130" ht="20" customHeight="1" s="48"/>
    <row r="131" ht="20" customHeight="1" s="48"/>
    <row r="132" ht="20" customHeight="1" s="48"/>
    <row r="133" ht="20" customHeight="1" s="48"/>
    <row r="134" ht="20" customHeight="1" s="48"/>
    <row r="135" ht="20" customHeight="1" s="48"/>
    <row r="136" ht="20" customHeight="1" s="48"/>
    <row r="137" ht="20" customHeight="1" s="48"/>
    <row r="138" ht="20" customHeight="1" s="48"/>
    <row r="139" ht="20" customHeight="1" s="48"/>
    <row r="140" ht="20" customHeight="1" s="48"/>
    <row r="141" ht="20" customHeight="1" s="48"/>
    <row r="142" ht="20" customHeight="1" s="48"/>
    <row r="143" ht="20" customHeight="1" s="48"/>
    <row r="144" ht="20" customHeight="1" s="48"/>
    <row r="145" ht="20" customHeight="1" s="48"/>
    <row r="146" ht="20" customHeight="1" s="48"/>
    <row r="147" ht="20" customHeight="1" s="48"/>
    <row r="148" ht="20" customHeight="1" s="48"/>
    <row r="149" ht="20" customHeight="1" s="48"/>
    <row r="150" ht="20" customHeight="1" s="48"/>
    <row r="151" ht="20" customHeight="1" s="48"/>
    <row r="152" ht="20" customHeight="1" s="48"/>
    <row r="153" ht="20" customHeight="1" s="48"/>
    <row r="154" ht="20" customHeight="1" s="48"/>
    <row r="155" ht="20" customHeight="1" s="48"/>
    <row r="156" ht="20" customHeight="1" s="48"/>
    <row r="157" ht="20" customHeight="1" s="48"/>
    <row r="158" ht="20" customHeight="1" s="48"/>
    <row r="159" ht="20" customHeight="1" s="48"/>
    <row r="160" ht="20" customHeight="1" s="48"/>
    <row r="161" ht="20" customHeight="1" s="48"/>
    <row r="162" ht="20" customHeight="1" s="48"/>
    <row r="163" ht="20" customHeight="1" s="48"/>
    <row r="164" ht="20" customHeight="1" s="48"/>
    <row r="165" ht="20" customHeight="1" s="48"/>
    <row r="166" ht="20" customHeight="1" s="48"/>
    <row r="167" ht="20" customHeight="1" s="48"/>
    <row r="168" ht="20" customHeight="1" s="48"/>
    <row r="169" ht="20" customHeight="1" s="48"/>
    <row r="170" ht="20" customHeight="1" s="48"/>
    <row r="171" ht="20" customHeight="1" s="48"/>
    <row r="172" ht="20" customHeight="1" s="48"/>
    <row r="173" ht="20" customHeight="1" s="48"/>
    <row r="174" ht="20" customHeight="1" s="48"/>
    <row r="175" ht="20" customHeight="1" s="48"/>
    <row r="176" ht="20" customHeight="1" s="48"/>
    <row r="177" ht="20" customHeight="1" s="48"/>
    <row r="178" ht="20" customHeight="1" s="48"/>
    <row r="179" ht="20" customHeight="1" s="48"/>
    <row r="180" ht="20" customHeight="1" s="48"/>
    <row r="181" ht="20" customHeight="1" s="48"/>
    <row r="182" ht="20" customHeight="1" s="48"/>
    <row r="183" ht="20" customHeight="1" s="48"/>
    <row r="184" ht="20" customHeight="1" s="48"/>
    <row r="185" ht="20" customHeight="1" s="48"/>
    <row r="186" ht="20" customHeight="1" s="48"/>
    <row r="187" ht="20" customHeight="1" s="48"/>
    <row r="188" ht="20" customHeight="1" s="48"/>
    <row r="189" ht="20" customHeight="1" s="48"/>
    <row r="190" ht="20" customHeight="1" s="48"/>
    <row r="191" ht="20" customHeight="1" s="48"/>
    <row r="192" ht="20" customHeight="1" s="48"/>
    <row r="193" ht="20" customHeight="1" s="48"/>
    <row r="194" ht="20" customHeight="1" s="48"/>
    <row r="195" ht="20" customHeight="1" s="48"/>
    <row r="196" ht="20" customHeight="1" s="48"/>
    <row r="197" ht="20" customHeight="1" s="48"/>
    <row r="198" ht="20" customHeight="1" s="48"/>
    <row r="199" ht="20" customHeight="1" s="48"/>
    <row r="200" ht="20" customHeight="1" s="48"/>
    <row r="201" ht="20" customHeight="1" s="48"/>
    <row r="202" ht="20" customHeight="1" s="48"/>
    <row r="203" ht="20" customHeight="1" s="48"/>
    <row r="204" ht="20" customHeight="1" s="48"/>
    <row r="205" ht="20" customHeight="1" s="48"/>
    <row r="206" ht="20" customHeight="1" s="48"/>
    <row r="207" ht="20" customHeight="1" s="48"/>
    <row r="208" ht="20" customHeight="1" s="48"/>
    <row r="209" ht="20" customHeight="1" s="48"/>
    <row r="210" ht="20" customHeight="1" s="48"/>
    <row r="211" ht="20" customHeight="1" s="48"/>
    <row r="212" ht="20" customHeight="1" s="48"/>
    <row r="213" ht="20" customHeight="1" s="48"/>
    <row r="214" ht="20" customHeight="1" s="48"/>
    <row r="215" ht="20" customHeight="1" s="48"/>
    <row r="216" ht="20" customHeight="1" s="48"/>
    <row r="217" ht="20" customHeight="1" s="48"/>
    <row r="218" ht="20" customHeight="1" s="48"/>
    <row r="219" ht="20" customHeight="1" s="48"/>
    <row r="220" ht="20" customHeight="1" s="48"/>
    <row r="221" ht="20" customHeight="1" s="48"/>
    <row r="222" ht="20" customHeight="1" s="48"/>
    <row r="223" ht="20" customHeight="1" s="48"/>
    <row r="224" ht="20" customHeight="1" s="48"/>
    <row r="225" ht="20" customHeight="1" s="48"/>
    <row r="226" ht="20" customHeight="1" s="48"/>
    <row r="227" ht="20" customHeight="1" s="48"/>
    <row r="228" ht="20" customHeight="1" s="48"/>
    <row r="229" ht="20" customHeight="1" s="48"/>
    <row r="230" ht="20" customHeight="1" s="48"/>
    <row r="231" ht="20" customHeight="1" s="48"/>
    <row r="232" ht="20" customHeight="1" s="48"/>
    <row r="233" ht="20" customHeight="1" s="48"/>
    <row r="234" ht="20" customHeight="1" s="48"/>
    <row r="235" ht="20" customHeight="1" s="48"/>
    <row r="236" ht="20" customHeight="1" s="48"/>
    <row r="237" ht="20" customHeight="1" s="48"/>
    <row r="238" ht="20" customHeight="1" s="48"/>
    <row r="239" ht="20" customHeight="1" s="48"/>
    <row r="240" ht="20" customHeight="1" s="48"/>
    <row r="241" ht="20" customHeight="1" s="48"/>
    <row r="242" ht="20" customHeight="1" s="48"/>
    <row r="243" ht="20" customHeight="1" s="48"/>
    <row r="244" ht="20" customHeight="1" s="48"/>
    <row r="245" ht="20" customHeight="1" s="48"/>
    <row r="246" ht="20" customHeight="1" s="48"/>
    <row r="247" ht="20" customHeight="1" s="48"/>
    <row r="248" ht="20" customHeight="1" s="48"/>
    <row r="249" ht="20" customHeight="1" s="48"/>
    <row r="250" ht="20" customHeight="1" s="48"/>
    <row r="251" ht="20" customHeight="1" s="48"/>
    <row r="252" ht="20" customHeight="1" s="48"/>
    <row r="253" ht="20" customHeight="1" s="48"/>
    <row r="254" ht="20" customHeight="1" s="48"/>
    <row r="255" ht="20" customHeight="1" s="48"/>
    <row r="256" ht="20" customHeight="1" s="48"/>
    <row r="257" ht="20" customHeight="1" s="48"/>
    <row r="258" ht="20" customHeight="1" s="48"/>
    <row r="259" ht="20" customHeight="1" s="48"/>
    <row r="260" ht="20" customHeight="1" s="48"/>
    <row r="261" ht="20" customHeight="1" s="48"/>
    <row r="262" ht="20" customHeight="1" s="48"/>
    <row r="263" ht="20" customHeight="1" s="48"/>
    <row r="264" ht="20" customHeight="1" s="48"/>
    <row r="265" ht="20" customHeight="1" s="48"/>
    <row r="266" ht="20" customHeight="1" s="48"/>
    <row r="267" ht="20" customHeight="1" s="48"/>
    <row r="268" ht="20" customHeight="1" s="48"/>
    <row r="269" ht="20" customHeight="1" s="48"/>
    <row r="270" ht="20" customHeight="1" s="48"/>
    <row r="271" ht="20" customHeight="1" s="48"/>
    <row r="272" ht="20" customHeight="1" s="48"/>
    <row r="273" ht="20" customHeight="1" s="48"/>
    <row r="274" ht="20" customHeight="1" s="48"/>
    <row r="275" ht="20" customHeight="1" s="48"/>
    <row r="276" ht="20" customHeight="1" s="48"/>
    <row r="277" ht="20" customHeight="1" s="48"/>
    <row r="278" ht="20" customHeight="1" s="48"/>
    <row r="279" ht="20" customHeight="1" s="48"/>
    <row r="280" ht="20" customHeight="1" s="48"/>
    <row r="281" ht="20" customHeight="1" s="48"/>
    <row r="282" ht="20" customHeight="1" s="48"/>
    <row r="283" ht="20" customHeight="1" s="48"/>
    <row r="284" ht="20" customHeight="1" s="48"/>
    <row r="285" ht="20" customHeight="1" s="48"/>
    <row r="286" ht="20" customHeight="1" s="48"/>
    <row r="287" ht="20" customHeight="1" s="48"/>
    <row r="288" ht="20" customHeight="1" s="48"/>
    <row r="289" ht="20" customHeight="1" s="48"/>
    <row r="290" ht="20" customHeight="1" s="48"/>
    <row r="291" ht="20" customHeight="1" s="48"/>
    <row r="292" ht="20" customHeight="1" s="48"/>
    <row r="293" ht="20" customHeight="1" s="48"/>
    <row r="294" ht="20" customHeight="1" s="48"/>
    <row r="295" ht="20" customHeight="1" s="48"/>
    <row r="296" ht="20" customHeight="1" s="48"/>
    <row r="297" ht="20" customHeight="1" s="48"/>
    <row r="298" ht="20" customHeight="1" s="48"/>
    <row r="299" ht="20" customHeight="1" s="48"/>
    <row r="300" ht="20" customHeight="1" s="48"/>
    <row r="301" ht="20" customHeight="1" s="48"/>
    <row r="302" ht="20" customHeight="1" s="48"/>
    <row r="303" ht="20" customHeight="1" s="48"/>
    <row r="304" ht="20" customHeight="1" s="48"/>
    <row r="305" ht="20" customHeight="1" s="48"/>
    <row r="306" ht="20" customHeight="1" s="48"/>
    <row r="307" ht="20" customHeight="1" s="48"/>
    <row r="308" ht="20" customHeight="1" s="48"/>
    <row r="309" ht="20" customHeight="1" s="48"/>
    <row r="310" ht="20" customHeight="1" s="48"/>
    <row r="311" ht="20" customHeight="1" s="48"/>
    <row r="312" ht="20" customHeight="1" s="48"/>
    <row r="313" ht="20" customHeight="1" s="48"/>
    <row r="314" ht="20" customHeight="1" s="48"/>
    <row r="315" ht="20" customHeight="1" s="48"/>
    <row r="316" ht="20" customHeight="1" s="48"/>
    <row r="317" ht="20" customHeight="1" s="48"/>
    <row r="318" ht="20" customHeight="1" s="48"/>
    <row r="319" ht="20" customHeight="1" s="48"/>
    <row r="320" ht="20" customHeight="1" s="48"/>
    <row r="321" ht="20" customHeight="1" s="48"/>
    <row r="322" ht="20" customHeight="1" s="48"/>
    <row r="323" ht="20" customHeight="1" s="48"/>
    <row r="324" ht="20" customHeight="1" s="48"/>
    <row r="325" ht="20" customHeight="1" s="48"/>
    <row r="326" ht="20" customHeight="1" s="48"/>
    <row r="327" ht="20" customHeight="1" s="48"/>
    <row r="328" ht="20" customHeight="1" s="48"/>
    <row r="329" ht="20" customHeight="1" s="48"/>
    <row r="330" ht="20" customHeight="1" s="48"/>
    <row r="331" ht="20" customHeight="1" s="48"/>
    <row r="332" ht="20" customHeight="1" s="48"/>
    <row r="333" ht="20" customHeight="1" s="48"/>
    <row r="334" ht="20" customHeight="1" s="48"/>
    <row r="335" ht="20" customHeight="1" s="48"/>
    <row r="336" ht="20" customHeight="1" s="48"/>
    <row r="337" ht="20" customHeight="1" s="48"/>
    <row r="338" ht="20" customHeight="1" s="48"/>
    <row r="339" ht="20" customHeight="1" s="48"/>
    <row r="340" ht="20" customHeight="1" s="48"/>
    <row r="341" ht="20" customHeight="1" s="48"/>
    <row r="342" ht="20" customHeight="1" s="48"/>
    <row r="343" ht="20" customHeight="1" s="48"/>
    <row r="344" ht="20" customHeight="1" s="48"/>
    <row r="345" ht="20" customHeight="1" s="48"/>
    <row r="346" ht="20" customHeight="1" s="48"/>
    <row r="347" ht="20" customHeight="1" s="48"/>
    <row r="348" ht="20" customHeight="1" s="48"/>
    <row r="349" ht="20" customHeight="1" s="48"/>
    <row r="350" ht="20" customHeight="1" s="48"/>
    <row r="351" ht="20" customHeight="1" s="48"/>
    <row r="352" ht="20" customHeight="1" s="48"/>
    <row r="353" ht="20" customHeight="1" s="48"/>
    <row r="354" ht="20" customHeight="1" s="48"/>
    <row r="355" ht="20" customHeight="1" s="48"/>
    <row r="356" ht="20" customHeight="1" s="48"/>
    <row r="357" ht="20" customHeight="1" s="48"/>
    <row r="358" ht="20" customHeight="1" s="48"/>
    <row r="359" ht="20" customHeight="1" s="48"/>
    <row r="360" ht="20" customHeight="1" s="48"/>
    <row r="361" ht="20" customHeight="1" s="48"/>
    <row r="362" ht="20" customHeight="1" s="48"/>
    <row r="363" ht="20" customHeight="1" s="48"/>
    <row r="364" ht="20" customHeight="1" s="48"/>
    <row r="365" ht="20" customHeight="1" s="48"/>
    <row r="366" ht="20" customHeight="1" s="48"/>
    <row r="367" ht="20" customHeight="1" s="48"/>
    <row r="368" ht="20" customHeight="1" s="48"/>
    <row r="369" ht="20" customHeight="1" s="48"/>
    <row r="370" ht="20" customHeight="1" s="48"/>
    <row r="371" ht="20" customHeight="1" s="48"/>
    <row r="372" ht="20" customHeight="1" s="48"/>
    <row r="373" ht="20" customHeight="1" s="48"/>
    <row r="374" ht="20" customHeight="1" s="48"/>
    <row r="375" ht="20" customHeight="1" s="48"/>
    <row r="376" ht="20" customHeight="1" s="48"/>
    <row r="377" ht="20" customHeight="1" s="48"/>
    <row r="378" ht="20" customHeight="1" s="48"/>
    <row r="379" ht="20" customHeight="1" s="48"/>
    <row r="380" ht="20" customHeight="1" s="48"/>
    <row r="381" ht="20" customHeight="1" s="48"/>
    <row r="382" ht="20" customHeight="1" s="48"/>
    <row r="383" ht="20" customHeight="1" s="48"/>
    <row r="384" ht="20" customHeight="1" s="48"/>
    <row r="385" ht="20" customHeight="1" s="48"/>
    <row r="386" ht="20" customHeight="1" s="48"/>
    <row r="387" ht="20" customHeight="1" s="48"/>
    <row r="388" ht="20" customHeight="1" s="48"/>
    <row r="389" ht="20" customHeight="1" s="48"/>
    <row r="390" ht="20" customHeight="1" s="48"/>
    <row r="391" ht="20" customHeight="1" s="48"/>
    <row r="392" ht="20" customHeight="1" s="48"/>
    <row r="393" ht="20" customHeight="1" s="48"/>
    <row r="394" ht="20" customHeight="1" s="48"/>
    <row r="395" ht="20" customHeight="1" s="48"/>
    <row r="396" ht="20" customHeight="1" s="48"/>
    <row r="397" ht="20" customHeight="1" s="48"/>
    <row r="398" ht="20" customHeight="1" s="48"/>
    <row r="399" ht="20" customHeight="1" s="48"/>
    <row r="400" ht="20" customHeight="1" s="48"/>
    <row r="401" ht="20" customHeight="1" s="48"/>
    <row r="402" ht="20" customHeight="1" s="48"/>
    <row r="403" ht="20" customHeight="1" s="48"/>
    <row r="404" ht="20" customHeight="1" s="48"/>
    <row r="405" ht="20" customHeight="1" s="48"/>
    <row r="406" ht="20" customHeight="1" s="48"/>
    <row r="407" ht="20" customHeight="1" s="48"/>
    <row r="408" ht="20" customHeight="1" s="48"/>
    <row r="409" ht="20" customHeight="1" s="48"/>
    <row r="410" ht="20" customHeight="1" s="48"/>
    <row r="411" ht="20" customHeight="1" s="48"/>
    <row r="412" ht="20" customHeight="1" s="48"/>
    <row r="413" ht="20" customHeight="1" s="48"/>
    <row r="414" ht="20" customHeight="1" s="48"/>
    <row r="415" ht="20" customHeight="1" s="48"/>
    <row r="416" ht="20" customHeight="1" s="48"/>
    <row r="417" ht="20" customHeight="1" s="48"/>
    <row r="418" ht="20" customHeight="1" s="48"/>
    <row r="419" ht="20" customHeight="1" s="48"/>
    <row r="420" ht="20" customHeight="1" s="48"/>
    <row r="421" ht="20" customHeight="1" s="48"/>
    <row r="422" ht="20" customHeight="1" s="48"/>
    <row r="423" ht="20" customHeight="1" s="48"/>
    <row r="424" ht="20" customHeight="1" s="48"/>
    <row r="425" ht="20" customHeight="1" s="48"/>
    <row r="426" ht="20" customHeight="1" s="48"/>
    <row r="427" ht="20" customHeight="1" s="48"/>
    <row r="428" ht="20" customHeight="1" s="48"/>
    <row r="429" ht="20" customHeight="1" s="48"/>
    <row r="430" ht="20" customHeight="1" s="48"/>
    <row r="431" ht="20" customHeight="1" s="48"/>
    <row r="432" ht="20" customHeight="1" s="48"/>
    <row r="433" ht="20" customHeight="1" s="48"/>
    <row r="434" ht="20" customHeight="1" s="48"/>
    <row r="435" ht="20" customHeight="1" s="48"/>
    <row r="436" ht="20" customHeight="1" s="48"/>
    <row r="437" ht="20" customHeight="1" s="48"/>
    <row r="438" ht="20" customHeight="1" s="48"/>
    <row r="439" ht="20" customHeight="1" s="48"/>
    <row r="440" ht="20" customHeight="1" s="48"/>
    <row r="441" ht="20" customHeight="1" s="48"/>
    <row r="442" ht="20" customHeight="1" s="48"/>
    <row r="443" ht="20" customHeight="1" s="48"/>
    <row r="444" ht="20" customHeight="1" s="48"/>
    <row r="445" ht="20" customHeight="1" s="48"/>
    <row r="446" ht="20" customHeight="1" s="48"/>
    <row r="447" ht="20" customHeight="1" s="48"/>
    <row r="448" ht="20" customHeight="1" s="48"/>
    <row r="449" ht="20" customHeight="1" s="48"/>
    <row r="450" ht="20" customHeight="1" s="48"/>
    <row r="451" ht="20" customHeight="1" s="48"/>
    <row r="452" ht="20" customHeight="1" s="48"/>
    <row r="453" ht="20" customHeight="1" s="48"/>
    <row r="454" ht="20" customHeight="1" s="48"/>
    <row r="455" ht="20" customHeight="1" s="48"/>
    <row r="456" ht="20" customHeight="1" s="48"/>
    <row r="457" ht="20" customHeight="1" s="48"/>
    <row r="458" ht="20" customHeight="1" s="48"/>
    <row r="459" ht="20" customHeight="1" s="48"/>
    <row r="460" ht="20" customHeight="1" s="48"/>
    <row r="461" ht="20" customHeight="1" s="48"/>
    <row r="462" ht="20" customHeight="1" s="48"/>
    <row r="463" ht="20" customHeight="1" s="48"/>
    <row r="464" ht="20" customHeight="1" s="48"/>
    <row r="465" ht="20" customHeight="1" s="48"/>
    <row r="466" ht="20" customHeight="1" s="48"/>
    <row r="467" ht="20" customHeight="1" s="48"/>
    <row r="468" ht="20" customHeight="1" s="48"/>
    <row r="469" ht="20" customHeight="1" s="48"/>
    <row r="470" ht="20" customHeight="1" s="48"/>
    <row r="471" ht="20" customHeight="1" s="48"/>
    <row r="472" ht="20" customHeight="1" s="48"/>
    <row r="473" ht="20" customHeight="1" s="48"/>
    <row r="474" ht="20" customHeight="1" s="48"/>
    <row r="475" ht="20" customHeight="1" s="48"/>
    <row r="476" ht="20" customHeight="1" s="48"/>
    <row r="477" ht="20" customHeight="1" s="48"/>
    <row r="478" ht="20" customHeight="1" s="48"/>
    <row r="479" ht="20" customHeight="1" s="48"/>
    <row r="480" ht="20" customHeight="1" s="48"/>
    <row r="481" ht="20" customHeight="1" s="48"/>
    <row r="482" ht="20" customHeight="1" s="48"/>
    <row r="483" ht="20" customHeight="1" s="48"/>
    <row r="484" ht="20" customHeight="1" s="48"/>
    <row r="485" ht="20" customHeight="1" s="48"/>
    <row r="486" ht="20" customHeight="1" s="48"/>
    <row r="487" ht="20" customHeight="1" s="48"/>
    <row r="488" ht="20" customHeight="1" s="48"/>
    <row r="489" ht="20" customHeight="1" s="48"/>
    <row r="490" ht="20" customHeight="1" s="48"/>
    <row r="491" ht="20" customHeight="1" s="48"/>
    <row r="492" ht="20" customHeight="1" s="48"/>
    <row r="493" ht="20" customHeight="1" s="48"/>
    <row r="494" ht="20" customHeight="1" s="48"/>
    <row r="495" ht="20" customHeight="1" s="48"/>
    <row r="496" ht="20" customHeight="1" s="48"/>
    <row r="497" ht="20" customHeight="1" s="48"/>
    <row r="498" ht="20" customHeight="1" s="48"/>
    <row r="499" ht="20" customHeight="1" s="48"/>
    <row r="500" ht="20" customHeight="1" s="48"/>
  </sheetData>
  <mergeCells count="1">
    <mergeCell ref="A1:T1"/>
  </mergeCells>
  <conditionalFormatting sqref="P4:P52">
    <cfRule type="dataBar" priority="1">
      <dataBar>
        <cfvo type="min"/>
        <cfvo type="max"/>
        <color rgb="FF2F6BFF"/>
      </dataBar>
    </cfRule>
  </conditionalFormatting>
  <conditionalFormatting sqref="Q4:Q52">
    <cfRule type="expression" priority="2" dxfId="0">
      <formula>AND($Q4&lt;0,$J4&lt;&gt;"已发布",$A4&lt;&gt;"")</formula>
    </cfRule>
  </conditionalFormatting>
  <dataValidations count="2">
    <dataValidation sqref="J4:J52" showDropDown="0" showInputMessage="0" showErrorMessage="0" allowBlank="0" type="list">
      <formula1>"候选,规划中,进行中,待发布,已发布,暂停,取消"</formula1>
    </dataValidation>
    <dataValidation sqref="K4:K52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Q50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48" min="1" max="1"/>
    <col width="16" customWidth="1" style="48" min="2" max="2"/>
    <col width="8" customWidth="1" style="48" min="3" max="3"/>
    <col width="22" customWidth="1" style="48" min="4" max="4"/>
    <col width="18" customWidth="1" style="48" min="5" max="5"/>
    <col width="18" customWidth="1" style="48" min="6" max="6"/>
    <col width="18" customWidth="1" style="48" min="7" max="7"/>
    <col width="10" customWidth="1" style="48" min="8" max="8"/>
    <col width="8" customWidth="1" style="48" min="9" max="9"/>
    <col width="10" customWidth="1" style="48" min="10" max="10"/>
    <col width="12" customWidth="1" style="48" min="11" max="11"/>
    <col width="12" customWidth="1" style="48" min="12" max="12"/>
    <col width="12" customWidth="1" style="48" min="13" max="13"/>
    <col width="12" customWidth="1" style="48" min="14" max="14"/>
    <col width="16" customWidth="1" style="48" min="15" max="15"/>
    <col width="10" customWidth="1" style="48" min="16" max="16"/>
    <col width="16" customWidth="1" style="48" min="17" max="17"/>
  </cols>
  <sheetData>
    <row r="1" ht="28" customHeight="1" s="48">
      <c r="A1" s="255" t="inlineStr">
        <is>
          <t>任务计划｜9-Stage Execution Board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0" customHeight="1" s="48">
      <c r="A2" s="256" t="n"/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  <c r="O2" s="256" t="n"/>
      <c r="P2" s="256" t="n"/>
      <c r="Q2" s="256" t="n"/>
    </row>
    <row r="3" ht="24" customHeight="1" s="48">
      <c r="A3" s="259" t="inlineStr">
        <is>
          <t>Video ID</t>
        </is>
      </c>
      <c r="B3" s="259" t="inlineStr">
        <is>
          <t>阶段</t>
        </is>
      </c>
      <c r="C3" s="259" t="inlineStr">
        <is>
          <t>阶段序号</t>
        </is>
      </c>
      <c r="D3" s="259" t="inlineStr">
        <is>
          <t>任务</t>
        </is>
      </c>
      <c r="E3" s="259" t="inlineStr">
        <is>
          <t>AI 支持</t>
        </is>
      </c>
      <c r="F3" s="259" t="inlineStr">
        <is>
          <t>人工关键判断</t>
        </is>
      </c>
      <c r="G3" s="259" t="inlineStr">
        <is>
          <t>交付物/完成标准</t>
        </is>
      </c>
      <c r="H3" s="259" t="inlineStr">
        <is>
          <t>状态</t>
        </is>
      </c>
      <c r="I3" s="259" t="inlineStr">
        <is>
          <t>优先级</t>
        </is>
      </c>
      <c r="J3" s="259" t="inlineStr">
        <is>
          <t>负责人</t>
        </is>
      </c>
      <c r="K3" s="259" t="inlineStr">
        <is>
          <t>计划开始</t>
        </is>
      </c>
      <c r="L3" s="259" t="inlineStr">
        <is>
          <t>实际开始</t>
        </is>
      </c>
      <c r="M3" s="259" t="inlineStr">
        <is>
          <t>截止日期</t>
        </is>
      </c>
      <c r="N3" s="259" t="inlineStr">
        <is>
          <t>依赖项</t>
        </is>
      </c>
      <c r="O3" s="259" t="inlineStr">
        <is>
          <t>工具/工作区</t>
        </is>
      </c>
      <c r="P3" s="259" t="inlineStr">
        <is>
          <t>完成度</t>
        </is>
      </c>
      <c r="Q3" s="259" t="inlineStr">
        <is>
          <t>备注</t>
        </is>
      </c>
    </row>
    <row r="4" ht="22" customHeight="1" s="48">
      <c r="A4" s="260" t="inlineStr">
        <is>
          <t>YT-001</t>
        </is>
      </c>
      <c r="B4" s="290" t="inlineStr">
        <is>
          <t>① 选题 Discover</t>
        </is>
      </c>
      <c r="C4" s="260" t="n">
        <v>1</v>
      </c>
      <c r="D4" s="260" t="inlineStr">
        <is>
          <t>收集趋势与受众信号</t>
        </is>
      </c>
      <c r="E4" s="260" t="inlineStr">
        <is>
          <t>分析搜索、平台趋势与评论需求</t>
        </is>
      </c>
      <c r="F4" s="260" t="inlineStr">
        <is>
          <t>趋势是否与频道定位一致</t>
        </is>
      </c>
      <c r="G4" s="260" t="inlineStr">
        <is>
          <t>趋势信号摘要</t>
        </is>
      </c>
      <c r="H4" s="291" t="inlineStr">
        <is>
          <t>已完成</t>
        </is>
      </c>
      <c r="I4" s="260" t="inlineStr">
        <is>
          <t>P0</t>
        </is>
      </c>
      <c r="J4" s="260" t="inlineStr">
        <is>
          <t>Gedi</t>
        </is>
      </c>
      <c r="K4" s="287" t="n">
        <v>46233</v>
      </c>
      <c r="L4" s="287" t="n">
        <v>46233</v>
      </c>
      <c r="M4" s="287" t="n">
        <v>46235</v>
      </c>
      <c r="N4" s="260" t="str"/>
      <c r="O4" s="260" t="str"/>
      <c r="P4" s="286">
        <f>IF(H4="已完成",1,IF(H4="待审核",0.8,IF(H4="进行中",0.5,IF(H4="已阻塞",0.25,0))))</f>
        <v/>
      </c>
      <c r="Q4" s="260" t="str"/>
    </row>
    <row r="5" ht="22" customHeight="1" s="48">
      <c r="A5" s="261" t="inlineStr">
        <is>
          <t>YT-001</t>
        </is>
      </c>
      <c r="B5" s="290" t="inlineStr">
        <is>
          <t>① 选题 Discover</t>
        </is>
      </c>
      <c r="C5" s="261" t="n">
        <v>1</v>
      </c>
      <c r="D5" s="261" t="inlineStr">
        <is>
          <t>建立竞品样本</t>
        </is>
      </c>
      <c r="E5" s="261" t="inlineStr">
        <is>
          <t>整理 5–10 个相近视频及表现</t>
        </is>
      </c>
      <c r="F5" s="261" t="inlineStr">
        <is>
          <t>哪些可以借鉴，哪些必须避开</t>
        </is>
      </c>
      <c r="G5" s="261" t="inlineStr">
        <is>
          <t>竞品对比表</t>
        </is>
      </c>
      <c r="H5" s="291" t="inlineStr">
        <is>
          <t>已完成</t>
        </is>
      </c>
      <c r="I5" s="261" t="inlineStr">
        <is>
          <t>P0</t>
        </is>
      </c>
      <c r="J5" s="261" t="inlineStr">
        <is>
          <t>Gedi</t>
        </is>
      </c>
      <c r="K5" s="285" t="n">
        <v>46233</v>
      </c>
      <c r="L5" s="285" t="n">
        <v>46233</v>
      </c>
      <c r="M5" s="285" t="n">
        <v>46235</v>
      </c>
      <c r="N5" s="261" t="str"/>
      <c r="O5" s="261" t="str"/>
      <c r="P5" s="284">
        <f>IF(H5="已完成",1,IF(H5="待审核",0.8,IF(H5="进行中",0.5,IF(H5="已阻塞",0.25,0))))</f>
        <v/>
      </c>
      <c r="Q5" s="261" t="str"/>
    </row>
    <row r="6" ht="22" customHeight="1" s="48">
      <c r="A6" s="260" t="inlineStr">
        <is>
          <t>YT-001</t>
        </is>
      </c>
      <c r="B6" s="290" t="inlineStr">
        <is>
          <t>① 选题 Discover</t>
        </is>
      </c>
      <c r="C6" s="260" t="n">
        <v>1</v>
      </c>
      <c r="D6" s="260" t="inlineStr">
        <is>
          <t>识别差异化切口</t>
        </is>
      </c>
      <c r="E6" s="260" t="inlineStr">
        <is>
          <t>生成不同叙事角度与视觉方向</t>
        </is>
      </c>
      <c r="F6" s="260" t="inlineStr">
        <is>
          <t>选择最符合个人表达的切口</t>
        </is>
      </c>
      <c r="G6" s="260" t="inlineStr">
        <is>
          <t>一句话差异化定位</t>
        </is>
      </c>
      <c r="H6" s="291" t="inlineStr">
        <is>
          <t>已完成</t>
        </is>
      </c>
      <c r="I6" s="260" t="inlineStr">
        <is>
          <t>P0</t>
        </is>
      </c>
      <c r="J6" s="260" t="inlineStr">
        <is>
          <t>Gedi</t>
        </is>
      </c>
      <c r="K6" s="287" t="n">
        <v>46233</v>
      </c>
      <c r="L6" s="287" t="n">
        <v>46233</v>
      </c>
      <c r="M6" s="287" t="n">
        <v>46235</v>
      </c>
      <c r="N6" s="260" t="str"/>
      <c r="O6" s="260" t="str"/>
      <c r="P6" s="286">
        <f>IF(H6="已完成",1,IF(H6="待审核",0.8,IF(H6="进行中",0.5,IF(H6="已阻塞",0.25,0))))</f>
        <v/>
      </c>
      <c r="Q6" s="260" t="str"/>
    </row>
    <row r="7" ht="22" customHeight="1" s="48">
      <c r="A7" s="261" t="inlineStr">
        <is>
          <t>YT-001</t>
        </is>
      </c>
      <c r="B7" s="290" t="inlineStr">
        <is>
          <t>① 选题 Discover</t>
        </is>
      </c>
      <c r="C7" s="261" t="n">
        <v>1</v>
      </c>
      <c r="D7" s="261" t="inlineStr">
        <is>
          <t>确定制作决策</t>
        </is>
      </c>
      <c r="E7" s="261" t="inlineStr">
        <is>
          <t>汇总机会评分与风险</t>
        </is>
      </c>
      <c r="F7" s="261" t="inlineStr">
        <is>
          <t>是否值得投入本期制作</t>
        </is>
      </c>
      <c r="G7" s="261" t="inlineStr">
        <is>
          <t>Go / Hold / Kill 结论</t>
        </is>
      </c>
      <c r="H7" s="291" t="inlineStr">
        <is>
          <t>已完成</t>
        </is>
      </c>
      <c r="I7" s="261" t="inlineStr">
        <is>
          <t>P0</t>
        </is>
      </c>
      <c r="J7" s="261" t="inlineStr">
        <is>
          <t>Gedi</t>
        </is>
      </c>
      <c r="K7" s="285" t="n">
        <v>46233</v>
      </c>
      <c r="L7" s="285" t="n">
        <v>46233</v>
      </c>
      <c r="M7" s="285" t="n">
        <v>46235</v>
      </c>
      <c r="N7" s="261" t="str"/>
      <c r="O7" s="261" t="str"/>
      <c r="P7" s="284">
        <f>IF(H7="已完成",1,IF(H7="待审核",0.8,IF(H7="进行中",0.5,IF(H7="已阻塞",0.25,0))))</f>
        <v/>
      </c>
      <c r="Q7" s="261" t="str"/>
    </row>
    <row r="8" ht="22" customHeight="1" s="48">
      <c r="A8" s="260" t="inlineStr">
        <is>
          <t>YT-001</t>
        </is>
      </c>
      <c r="B8" s="292" t="inlineStr">
        <is>
          <t>② 研究 Research</t>
        </is>
      </c>
      <c r="C8" s="260" t="n">
        <v>2</v>
      </c>
      <c r="D8" s="260" t="inlineStr">
        <is>
          <t>列出核心问题</t>
        </is>
      </c>
      <c r="E8" s="260" t="inlineStr">
        <is>
          <t>把主题拆成事实、人物、时间线、争议</t>
        </is>
      </c>
      <c r="F8" s="260" t="inlineStr">
        <is>
          <t>研究范围是否过宽</t>
        </is>
      </c>
      <c r="G8" s="260" t="inlineStr">
        <is>
          <t>研究问题清单</t>
        </is>
      </c>
      <c r="H8" s="291" t="inlineStr">
        <is>
          <t>已完成</t>
        </is>
      </c>
      <c r="I8" s="260" t="inlineStr">
        <is>
          <t>P0</t>
        </is>
      </c>
      <c r="J8" s="260" t="inlineStr">
        <is>
          <t>Gedi</t>
        </is>
      </c>
      <c r="K8" s="287" t="n">
        <v>46235</v>
      </c>
      <c r="L8" s="287" t="n">
        <v>46235</v>
      </c>
      <c r="M8" s="287" t="n">
        <v>46237</v>
      </c>
      <c r="N8" s="260" t="str"/>
      <c r="O8" s="260" t="str"/>
      <c r="P8" s="286">
        <f>IF(H8="已完成",1,IF(H8="待审核",0.8,IF(H8="进行中",0.5,IF(H8="已阻塞",0.25,0))))</f>
        <v/>
      </c>
      <c r="Q8" s="260" t="str"/>
    </row>
    <row r="9" ht="22" customHeight="1" s="48">
      <c r="A9" s="261" t="inlineStr">
        <is>
          <t>YT-001</t>
        </is>
      </c>
      <c r="B9" s="292" t="inlineStr">
        <is>
          <t>② 研究 Research</t>
        </is>
      </c>
      <c r="C9" s="261" t="n">
        <v>2</v>
      </c>
      <c r="D9" s="261" t="inlineStr">
        <is>
          <t>搜集一手与高质量来源</t>
        </is>
      </c>
      <c r="E9" s="261" t="inlineStr">
        <is>
          <t>检索并摘要资料</t>
        </is>
      </c>
      <c r="F9" s="261" t="inlineStr">
        <is>
          <t>来源是否可信、是否过时</t>
        </is>
      </c>
      <c r="G9" s="261" t="inlineStr">
        <is>
          <t>来源库</t>
        </is>
      </c>
      <c r="H9" s="291" t="inlineStr">
        <is>
          <t>已完成</t>
        </is>
      </c>
      <c r="I9" s="261" t="inlineStr">
        <is>
          <t>P0</t>
        </is>
      </c>
      <c r="J9" s="261" t="inlineStr">
        <is>
          <t>Gedi</t>
        </is>
      </c>
      <c r="K9" s="285" t="n">
        <v>46235</v>
      </c>
      <c r="L9" s="285" t="n">
        <v>46235</v>
      </c>
      <c r="M9" s="285" t="n">
        <v>46237</v>
      </c>
      <c r="N9" s="261" t="str"/>
      <c r="O9" s="261" t="str"/>
      <c r="P9" s="284">
        <f>IF(H9="已完成",1,IF(H9="待审核",0.8,IF(H9="进行中",0.5,IF(H9="已阻塞",0.25,0))))</f>
        <v/>
      </c>
      <c r="Q9" s="261" t="str"/>
    </row>
    <row r="10" ht="22" customHeight="1" s="48">
      <c r="A10" s="260" t="inlineStr">
        <is>
          <t>YT-001</t>
        </is>
      </c>
      <c r="B10" s="292" t="inlineStr">
        <is>
          <t>② 研究 Research</t>
        </is>
      </c>
      <c r="C10" s="260" t="n">
        <v>2</v>
      </c>
      <c r="D10" s="260" t="inlineStr">
        <is>
          <t>建立时间线/因果链</t>
        </is>
      </c>
      <c r="E10" s="260" t="inlineStr">
        <is>
          <t>整理事件顺序和关键转折</t>
        </is>
      </c>
      <c r="F10" s="260" t="inlineStr">
        <is>
          <t>哪些关系是事实，哪些是推断</t>
        </is>
      </c>
      <c r="G10" s="260" t="inlineStr">
        <is>
          <t>时间线</t>
        </is>
      </c>
      <c r="H10" s="291" t="inlineStr">
        <is>
          <t>已完成</t>
        </is>
      </c>
      <c r="I10" s="260" t="inlineStr">
        <is>
          <t>P1</t>
        </is>
      </c>
      <c r="J10" s="260" t="inlineStr">
        <is>
          <t>Gedi</t>
        </is>
      </c>
      <c r="K10" s="287" t="n">
        <v>46235</v>
      </c>
      <c r="L10" s="287" t="n">
        <v>46235</v>
      </c>
      <c r="M10" s="287" t="n">
        <v>46237</v>
      </c>
      <c r="N10" s="260" t="str"/>
      <c r="O10" s="260" t="str"/>
      <c r="P10" s="286">
        <f>IF(H10="已完成",1,IF(H10="待审核",0.8,IF(H10="进行中",0.5,IF(H10="已阻塞",0.25,0))))</f>
        <v/>
      </c>
      <c r="Q10" s="260" t="str"/>
    </row>
    <row r="11" ht="22" customHeight="1" s="48">
      <c r="A11" s="261" t="inlineStr">
        <is>
          <t>YT-001</t>
        </is>
      </c>
      <c r="B11" s="292" t="inlineStr">
        <is>
          <t>② 研究 Research</t>
        </is>
      </c>
      <c r="C11" s="261" t="n">
        <v>2</v>
      </c>
      <c r="D11" s="261" t="inlineStr">
        <is>
          <t>观点对比</t>
        </is>
      </c>
      <c r="E11" s="261" t="inlineStr">
        <is>
          <t>归纳不同立场与证据</t>
        </is>
      </c>
      <c r="F11" s="261" t="inlineStr">
        <is>
          <t>是否存在误导性的二分法</t>
        </is>
      </c>
      <c r="G11" s="261" t="inlineStr">
        <is>
          <t>观点矩阵</t>
        </is>
      </c>
      <c r="H11" s="293" t="inlineStr">
        <is>
          <t>进行中</t>
        </is>
      </c>
      <c r="I11" s="261" t="inlineStr">
        <is>
          <t>P0</t>
        </is>
      </c>
      <c r="J11" s="261" t="inlineStr">
        <is>
          <t>Gedi</t>
        </is>
      </c>
      <c r="K11" s="285" t="n">
        <v>46235</v>
      </c>
      <c r="L11" s="285" t="n">
        <v>46235</v>
      </c>
      <c r="M11" s="285" t="n">
        <v>46237</v>
      </c>
      <c r="N11" s="261" t="str"/>
      <c r="O11" s="261" t="str"/>
      <c r="P11" s="284">
        <f>IF(H11="已完成",1,IF(H11="待审核",0.8,IF(H11="进行中",0.5,IF(H11="已阻塞",0.25,0))))</f>
        <v/>
      </c>
      <c r="Q11" s="261" t="str"/>
    </row>
    <row r="12" ht="22" customHeight="1" s="48">
      <c r="A12" s="260" t="inlineStr">
        <is>
          <t>YT-001</t>
        </is>
      </c>
      <c r="B12" s="292" t="inlineStr">
        <is>
          <t>② 研究 Research</t>
        </is>
      </c>
      <c r="C12" s="260" t="n">
        <v>2</v>
      </c>
      <c r="D12" s="260" t="inlineStr">
        <is>
          <t>形成研究结论</t>
        </is>
      </c>
      <c r="E12" s="260" t="inlineStr">
        <is>
          <t>总结可用于脚本的核心洞察</t>
        </is>
      </c>
      <c r="F12" s="260" t="inlineStr">
        <is>
          <t>最终要表达什么、不表达什么</t>
        </is>
      </c>
      <c r="G12" s="260" t="inlineStr">
        <is>
          <t>研究简报</t>
        </is>
      </c>
      <c r="H12" s="293" t="inlineStr">
        <is>
          <t>进行中</t>
        </is>
      </c>
      <c r="I12" s="260" t="inlineStr">
        <is>
          <t>P0</t>
        </is>
      </c>
      <c r="J12" s="260" t="inlineStr">
        <is>
          <t>Gedi</t>
        </is>
      </c>
      <c r="K12" s="287" t="n">
        <v>46235</v>
      </c>
      <c r="L12" s="287" t="n">
        <v>46235</v>
      </c>
      <c r="M12" s="287" t="n">
        <v>46237</v>
      </c>
      <c r="N12" s="260" t="str"/>
      <c r="O12" s="260" t="str"/>
      <c r="P12" s="286">
        <f>IF(H12="已完成",1,IF(H12="待审核",0.8,IF(H12="进行中",0.5,IF(H12="已阻塞",0.25,0))))</f>
        <v/>
      </c>
      <c r="Q12" s="260" t="str"/>
    </row>
    <row r="13" ht="22" customHeight="1" s="48">
      <c r="A13" s="261" t="inlineStr">
        <is>
          <t>YT-001</t>
        </is>
      </c>
      <c r="B13" s="294" t="inlineStr">
        <is>
          <t>③ 脚本 Script</t>
        </is>
      </c>
      <c r="C13" s="261" t="n">
        <v>3</v>
      </c>
      <c r="D13" s="261" t="inlineStr">
        <is>
          <t>确定 Hook</t>
        </is>
      </c>
      <c r="E13" s="261" t="inlineStr">
        <is>
          <t>生成多种开场与前 30 秒结构</t>
        </is>
      </c>
      <c r="F13" s="261" t="inlineStr">
        <is>
          <t>哪一种最有吸引力且不标题党</t>
        </is>
      </c>
      <c r="G13" s="261" t="inlineStr">
        <is>
          <t>Hook 草稿</t>
        </is>
      </c>
      <c r="H13" s="293" t="inlineStr">
        <is>
          <t>进行中</t>
        </is>
      </c>
      <c r="I13" s="261" t="inlineStr">
        <is>
          <t>P0</t>
        </is>
      </c>
      <c r="J13" s="261" t="inlineStr">
        <is>
          <t>Gedi</t>
        </is>
      </c>
      <c r="K13" s="285" t="n">
        <v>46237</v>
      </c>
      <c r="L13" s="285" t="n">
        <v>46237</v>
      </c>
      <c r="M13" s="285" t="n">
        <v>46239</v>
      </c>
      <c r="N13" s="261" t="str"/>
      <c r="O13" s="261" t="str"/>
      <c r="P13" s="284">
        <f>IF(H13="已完成",1,IF(H13="待审核",0.8,IF(H13="进行中",0.5,IF(H13="已阻塞",0.25,0))))</f>
        <v/>
      </c>
      <c r="Q13" s="261" t="str"/>
    </row>
    <row r="14" ht="22" customHeight="1" s="48">
      <c r="A14" s="260" t="inlineStr">
        <is>
          <t>YT-001</t>
        </is>
      </c>
      <c r="B14" s="294" t="inlineStr">
        <is>
          <t>③ 脚本 Script</t>
        </is>
      </c>
      <c r="C14" s="260" t="n">
        <v>3</v>
      </c>
      <c r="D14" s="260" t="inlineStr">
        <is>
          <t>搭建故事结构</t>
        </is>
      </c>
      <c r="E14" s="260" t="inlineStr">
        <is>
          <t>生成三幕式、问题—探索—回报结构</t>
        </is>
      </c>
      <c r="F14" s="260" t="inlineStr">
        <is>
          <t>叙事节奏与情绪曲线</t>
        </is>
      </c>
      <c r="G14" s="260" t="inlineStr">
        <is>
          <t>脚本大纲</t>
        </is>
      </c>
      <c r="H14" s="295" t="inlineStr">
        <is>
          <t>未开始</t>
        </is>
      </c>
      <c r="I14" s="260" t="inlineStr">
        <is>
          <t>P0</t>
        </is>
      </c>
      <c r="J14" s="260" t="inlineStr">
        <is>
          <t>Gedi</t>
        </is>
      </c>
      <c r="K14" s="287" t="n">
        <v>46237</v>
      </c>
      <c r="L14" s="287" t="str"/>
      <c r="M14" s="287" t="n">
        <v>46239</v>
      </c>
      <c r="N14" s="260" t="str"/>
      <c r="O14" s="260" t="str"/>
      <c r="P14" s="286">
        <f>IF(H14="已完成",1,IF(H14="待审核",0.8,IF(H14="进行中",0.5,IF(H14="已阻塞",0.25,0))))</f>
        <v/>
      </c>
      <c r="Q14" s="260" t="str"/>
    </row>
    <row r="15" ht="22" customHeight="1" s="48">
      <c r="A15" s="261" t="inlineStr">
        <is>
          <t>YT-001</t>
        </is>
      </c>
      <c r="B15" s="294" t="inlineStr">
        <is>
          <t>③ 脚本 Script</t>
        </is>
      </c>
      <c r="C15" s="261" t="n">
        <v>3</v>
      </c>
      <c r="D15" s="261" t="inlineStr">
        <is>
          <t>完成初稿</t>
        </is>
      </c>
      <c r="E15" s="261" t="inlineStr">
        <is>
          <t>根据研究生成脚本初稿</t>
        </is>
      </c>
      <c r="F15" s="261" t="inlineStr">
        <is>
          <t>观点、事实与个人声音</t>
        </is>
      </c>
      <c r="G15" s="261" t="inlineStr">
        <is>
          <t>完整脚本 V1</t>
        </is>
      </c>
      <c r="H15" s="295" t="inlineStr">
        <is>
          <t>未开始</t>
        </is>
      </c>
      <c r="I15" s="261" t="inlineStr">
        <is>
          <t>P0</t>
        </is>
      </c>
      <c r="J15" s="261" t="inlineStr">
        <is>
          <t>Gedi</t>
        </is>
      </c>
      <c r="K15" s="285" t="n">
        <v>46237</v>
      </c>
      <c r="L15" s="285" t="str"/>
      <c r="M15" s="285" t="n">
        <v>46239</v>
      </c>
      <c r="N15" s="261" t="str"/>
      <c r="O15" s="261" t="str"/>
      <c r="P15" s="284">
        <f>IF(H15="已完成",1,IF(H15="待审核",0.8,IF(H15="进行中",0.5,IF(H15="已阻塞",0.25,0))))</f>
        <v/>
      </c>
      <c r="Q15" s="261" t="str"/>
    </row>
    <row r="16" ht="22" customHeight="1" s="48">
      <c r="A16" s="260" t="inlineStr">
        <is>
          <t>YT-001</t>
        </is>
      </c>
      <c r="B16" s="294" t="inlineStr">
        <is>
          <t>③ 脚本 Script</t>
        </is>
      </c>
      <c r="C16" s="260" t="n">
        <v>3</v>
      </c>
      <c r="D16" s="260" t="inlineStr">
        <is>
          <t>事实核查与删改</t>
        </is>
      </c>
      <c r="E16" s="260" t="inlineStr">
        <is>
          <t>标记可疑事实、重复段落与弱论点</t>
        </is>
      </c>
      <c r="F16" s="260" t="inlineStr">
        <is>
          <t>是否准确、简洁、诚实</t>
        </is>
      </c>
      <c r="G16" s="260" t="inlineStr">
        <is>
          <t>脚本 V2</t>
        </is>
      </c>
      <c r="H16" s="295" t="inlineStr">
        <is>
          <t>未开始</t>
        </is>
      </c>
      <c r="I16" s="260" t="inlineStr">
        <is>
          <t>P0</t>
        </is>
      </c>
      <c r="J16" s="260" t="inlineStr">
        <is>
          <t>Gedi</t>
        </is>
      </c>
      <c r="K16" s="287" t="n">
        <v>46237</v>
      </c>
      <c r="L16" s="287" t="str"/>
      <c r="M16" s="287" t="n">
        <v>46239</v>
      </c>
      <c r="N16" s="260" t="str"/>
      <c r="O16" s="260" t="str"/>
      <c r="P16" s="286">
        <f>IF(H16="已完成",1,IF(H16="待审核",0.8,IF(H16="进行中",0.5,IF(H16="已阻塞",0.25,0))))</f>
        <v/>
      </c>
      <c r="Q16" s="260" t="str"/>
    </row>
    <row r="17" ht="22" customHeight="1" s="48">
      <c r="A17" s="261" t="inlineStr">
        <is>
          <t>YT-001</t>
        </is>
      </c>
      <c r="B17" s="294" t="inlineStr">
        <is>
          <t>③ 脚本 Script</t>
        </is>
      </c>
      <c r="C17" s="261" t="n">
        <v>3</v>
      </c>
      <c r="D17" s="261" t="inlineStr">
        <is>
          <t>口语化与时长校准</t>
        </is>
      </c>
      <c r="E17" s="261" t="inlineStr">
        <is>
          <t>调整句子、估算配音时长</t>
        </is>
      </c>
      <c r="F17" s="261" t="inlineStr">
        <is>
          <t>是否自然、是否像你本人</t>
        </is>
      </c>
      <c r="G17" s="261" t="inlineStr">
        <is>
          <t>录音稿</t>
        </is>
      </c>
      <c r="H17" s="295" t="inlineStr">
        <is>
          <t>未开始</t>
        </is>
      </c>
      <c r="I17" s="261" t="inlineStr">
        <is>
          <t>P1</t>
        </is>
      </c>
      <c r="J17" s="261" t="inlineStr">
        <is>
          <t>Gedi</t>
        </is>
      </c>
      <c r="K17" s="285" t="n">
        <v>46237</v>
      </c>
      <c r="L17" s="285" t="str"/>
      <c r="M17" s="285" t="n">
        <v>46239</v>
      </c>
      <c r="N17" s="261" t="str"/>
      <c r="O17" s="261" t="str"/>
      <c r="P17" s="284">
        <f>IF(H17="已完成",1,IF(H17="待审核",0.8,IF(H17="进行中",0.5,IF(H17="已阻塞",0.25,0))))</f>
        <v/>
      </c>
      <c r="Q17" s="261" t="str"/>
    </row>
    <row r="18" ht="22" customHeight="1" s="48">
      <c r="A18" s="260" t="inlineStr">
        <is>
          <t>YT-001</t>
        </is>
      </c>
      <c r="B18" s="296" t="inlineStr">
        <is>
          <t>④ 素材 Assets</t>
        </is>
      </c>
      <c r="C18" s="260" t="n">
        <v>4</v>
      </c>
      <c r="D18" s="260" t="inlineStr">
        <is>
          <t>生成 B-roll 清单</t>
        </is>
      </c>
      <c r="E18" s="260" t="inlineStr">
        <is>
          <t>按脚本段落生成镜头建议</t>
        </is>
      </c>
      <c r="F18" s="260" t="inlineStr">
        <is>
          <t>素材是否真正服务叙事</t>
        </is>
      </c>
      <c r="G18" s="260" t="inlineStr">
        <is>
          <t>B-roll Shot List</t>
        </is>
      </c>
      <c r="H18" s="295" t="inlineStr">
        <is>
          <t>未开始</t>
        </is>
      </c>
      <c r="I18" s="260" t="inlineStr">
        <is>
          <t>P1</t>
        </is>
      </c>
      <c r="J18" s="260" t="inlineStr">
        <is>
          <t>Gedi</t>
        </is>
      </c>
      <c r="K18" s="287" t="n">
        <v>46239</v>
      </c>
      <c r="L18" s="287" t="str"/>
      <c r="M18" s="287" t="n">
        <v>46241</v>
      </c>
      <c r="N18" s="260" t="str"/>
      <c r="O18" s="260" t="str"/>
      <c r="P18" s="286">
        <f>IF(H18="已完成",1,IF(H18="待审核",0.8,IF(H18="进行中",0.5,IF(H18="已阻塞",0.25,0))))</f>
        <v/>
      </c>
      <c r="Q18" s="260" t="str"/>
    </row>
    <row r="19" ht="22" customHeight="1" s="48">
      <c r="A19" s="261" t="inlineStr">
        <is>
          <t>YT-001</t>
        </is>
      </c>
      <c r="B19" s="296" t="inlineStr">
        <is>
          <t>④ 素材 Assets</t>
        </is>
      </c>
      <c r="C19" s="261" t="n">
        <v>4</v>
      </c>
      <c r="D19" s="261" t="inlineStr">
        <is>
          <t>准备图片/档案素材</t>
        </is>
      </c>
      <c r="E19" s="261" t="inlineStr">
        <is>
          <t>辅助搜索关键词与来源</t>
        </is>
      </c>
      <c r="F19" s="261" t="inlineStr">
        <is>
          <t>版权、清晰度、真实性</t>
        </is>
      </c>
      <c r="G19" s="261" t="inlineStr">
        <is>
          <t>图片素材包</t>
        </is>
      </c>
      <c r="H19" s="295" t="inlineStr">
        <is>
          <t>未开始</t>
        </is>
      </c>
      <c r="I19" s="261" t="inlineStr">
        <is>
          <t>P1</t>
        </is>
      </c>
      <c r="J19" s="261" t="inlineStr">
        <is>
          <t>Gedi</t>
        </is>
      </c>
      <c r="K19" s="285" t="n">
        <v>46239</v>
      </c>
      <c r="L19" s="285" t="str"/>
      <c r="M19" s="285" t="n">
        <v>46241</v>
      </c>
      <c r="N19" s="261" t="str"/>
      <c r="O19" s="261" t="str"/>
      <c r="P19" s="284">
        <f>IF(H19="已完成",1,IF(H19="待审核",0.8,IF(H19="进行中",0.5,IF(H19="已阻塞",0.25,0))))</f>
        <v/>
      </c>
      <c r="Q19" s="261" t="str"/>
    </row>
    <row r="20" ht="22" customHeight="1" s="48">
      <c r="A20" s="260" t="inlineStr">
        <is>
          <t>YT-001</t>
        </is>
      </c>
      <c r="B20" s="296" t="inlineStr">
        <is>
          <t>④ 素材 Assets</t>
        </is>
      </c>
      <c r="C20" s="260" t="n">
        <v>4</v>
      </c>
      <c r="D20" s="260" t="inlineStr">
        <is>
          <t>规划图标/地图/数据图表</t>
        </is>
      </c>
      <c r="E20" s="260" t="inlineStr">
        <is>
          <t>将抽象信息转成可视化方案</t>
        </is>
      </c>
      <c r="F20" s="260" t="inlineStr">
        <is>
          <t>什么信息值得可视化</t>
        </is>
      </c>
      <c r="G20" s="260" t="inlineStr">
        <is>
          <t>信息可视化清单</t>
        </is>
      </c>
      <c r="H20" s="295" t="inlineStr">
        <is>
          <t>未开始</t>
        </is>
      </c>
      <c r="I20" s="260" t="inlineStr">
        <is>
          <t>P1</t>
        </is>
      </c>
      <c r="J20" s="260" t="inlineStr">
        <is>
          <t>Gedi</t>
        </is>
      </c>
      <c r="K20" s="287" t="n">
        <v>46239</v>
      </c>
      <c r="L20" s="287" t="str"/>
      <c r="M20" s="287" t="n">
        <v>46241</v>
      </c>
      <c r="N20" s="260" t="str"/>
      <c r="O20" s="260" t="str"/>
      <c r="P20" s="286">
        <f>IF(H20="已完成",1,IF(H20="待审核",0.8,IF(H20="进行中",0.5,IF(H20="已阻塞",0.25,0))))</f>
        <v/>
      </c>
      <c r="Q20" s="260" t="str"/>
    </row>
    <row r="21" ht="22" customHeight="1" s="48">
      <c r="A21" s="261" t="inlineStr">
        <is>
          <t>YT-001</t>
        </is>
      </c>
      <c r="B21" s="296" t="inlineStr">
        <is>
          <t>④ 素材 Assets</t>
        </is>
      </c>
      <c r="C21" s="261" t="n">
        <v>4</v>
      </c>
      <c r="D21" s="261" t="inlineStr">
        <is>
          <t>建立素材命名与文件夹</t>
        </is>
      </c>
      <c r="E21" s="261" t="inlineStr">
        <is>
          <t>生成命名规则和目录建议</t>
        </is>
      </c>
      <c r="F21" s="261" t="inlineStr">
        <is>
          <t>是否便于剪辑检索</t>
        </is>
      </c>
      <c r="G21" s="261" t="inlineStr">
        <is>
          <t>标准化素材库</t>
        </is>
      </c>
      <c r="H21" s="295" t="inlineStr">
        <is>
          <t>未开始</t>
        </is>
      </c>
      <c r="I21" s="261" t="inlineStr">
        <is>
          <t>P2</t>
        </is>
      </c>
      <c r="J21" s="261" t="inlineStr">
        <is>
          <t>Gedi</t>
        </is>
      </c>
      <c r="K21" s="285" t="n">
        <v>46239</v>
      </c>
      <c r="L21" s="285" t="str"/>
      <c r="M21" s="285" t="n">
        <v>46241</v>
      </c>
      <c r="N21" s="261" t="str"/>
      <c r="O21" s="261" t="str"/>
      <c r="P21" s="284">
        <f>IF(H21="已完成",1,IF(H21="待审核",0.8,IF(H21="进行中",0.5,IF(H21="已阻塞",0.25,0))))</f>
        <v/>
      </c>
      <c r="Q21" s="261" t="str"/>
    </row>
    <row r="22" ht="22" customHeight="1" s="48">
      <c r="A22" s="260" t="inlineStr">
        <is>
          <t>YT-001</t>
        </is>
      </c>
      <c r="B22" s="297" t="inlineStr">
        <is>
          <t>⑤ 剪辑 Edit</t>
        </is>
      </c>
      <c r="C22" s="260" t="n">
        <v>5</v>
      </c>
      <c r="D22" s="260" t="inlineStr">
        <is>
          <t>旁白/主时间线粗剪</t>
        </is>
      </c>
      <c r="E22" s="260" t="inlineStr">
        <is>
          <t>删除停顿、错句并对齐脚本</t>
        </is>
      </c>
      <c r="F22" s="260" t="inlineStr">
        <is>
          <t>保留自然感与节奏</t>
        </is>
      </c>
      <c r="G22" s="260" t="inlineStr">
        <is>
          <t>粗剪 V1</t>
        </is>
      </c>
      <c r="H22" s="295" t="inlineStr">
        <is>
          <t>未开始</t>
        </is>
      </c>
      <c r="I22" s="260" t="inlineStr">
        <is>
          <t>P0</t>
        </is>
      </c>
      <c r="J22" s="260" t="inlineStr">
        <is>
          <t>Gedi</t>
        </is>
      </c>
      <c r="K22" s="287" t="n">
        <v>46241</v>
      </c>
      <c r="L22" s="287" t="str"/>
      <c r="M22" s="287" t="n">
        <v>46243</v>
      </c>
      <c r="N22" s="260" t="str"/>
      <c r="O22" s="260" t="str"/>
      <c r="P22" s="286">
        <f>IF(H22="已完成",1,IF(H22="待审核",0.8,IF(H22="进行中",0.5,IF(H22="已阻塞",0.25,0))))</f>
        <v/>
      </c>
      <c r="Q22" s="260" t="str"/>
    </row>
    <row r="23" ht="22" customHeight="1" s="48">
      <c r="A23" s="261" t="inlineStr">
        <is>
          <t>YT-001</t>
        </is>
      </c>
      <c r="B23" s="297" t="inlineStr">
        <is>
          <t>⑤ 剪辑 Edit</t>
        </is>
      </c>
      <c r="C23" s="261" t="n">
        <v>5</v>
      </c>
      <c r="D23" s="261" t="inlineStr">
        <is>
          <t>自动字幕与文本校对</t>
        </is>
      </c>
      <c r="E23" s="261" t="inlineStr">
        <is>
          <t>生成字幕并识别错词</t>
        </is>
      </c>
      <c r="F23" s="261" t="inlineStr">
        <is>
          <t>专有名词与断句是否准确</t>
        </is>
      </c>
      <c r="G23" s="261" t="inlineStr">
        <is>
          <t>字幕 V1</t>
        </is>
      </c>
      <c r="H23" s="295" t="inlineStr">
        <is>
          <t>未开始</t>
        </is>
      </c>
      <c r="I23" s="261" t="inlineStr">
        <is>
          <t>P1</t>
        </is>
      </c>
      <c r="J23" s="261" t="inlineStr">
        <is>
          <t>Gedi</t>
        </is>
      </c>
      <c r="K23" s="285" t="n">
        <v>46241</v>
      </c>
      <c r="L23" s="285" t="str"/>
      <c r="M23" s="285" t="n">
        <v>46243</v>
      </c>
      <c r="N23" s="261" t="str"/>
      <c r="O23" s="261" t="str"/>
      <c r="P23" s="284">
        <f>IF(H23="已完成",1,IF(H23="待审核",0.8,IF(H23="进行中",0.5,IF(H23="已阻塞",0.25,0))))</f>
        <v/>
      </c>
      <c r="Q23" s="261" t="str"/>
    </row>
    <row r="24" ht="22" customHeight="1" s="48">
      <c r="A24" s="260" t="inlineStr">
        <is>
          <t>YT-001</t>
        </is>
      </c>
      <c r="B24" s="297" t="inlineStr">
        <is>
          <t>⑤ 剪辑 Edit</t>
        </is>
      </c>
      <c r="C24" s="260" t="n">
        <v>5</v>
      </c>
      <c r="D24" s="260" t="inlineStr">
        <is>
          <t>镜头覆盖与节奏调整</t>
        </is>
      </c>
      <c r="E24" s="260" t="inlineStr">
        <is>
          <t>给出镜头长度与留白建议</t>
        </is>
      </c>
      <c r="F24" s="260" t="inlineStr">
        <is>
          <t>画面是否重复、节奏是否疲劳</t>
        </is>
      </c>
      <c r="G24" s="260" t="inlineStr">
        <is>
          <t>粗剪 V2</t>
        </is>
      </c>
      <c r="H24" s="295" t="inlineStr">
        <is>
          <t>未开始</t>
        </is>
      </c>
      <c r="I24" s="260" t="inlineStr">
        <is>
          <t>P0</t>
        </is>
      </c>
      <c r="J24" s="260" t="inlineStr">
        <is>
          <t>Gedi</t>
        </is>
      </c>
      <c r="K24" s="287" t="n">
        <v>46241</v>
      </c>
      <c r="L24" s="287" t="str"/>
      <c r="M24" s="287" t="n">
        <v>46243</v>
      </c>
      <c r="N24" s="260" t="str"/>
      <c r="O24" s="260" t="str"/>
      <c r="P24" s="286">
        <f>IF(H24="已完成",1,IF(H24="待审核",0.8,IF(H24="进行中",0.5,IF(H24="已阻塞",0.25,0))))</f>
        <v/>
      </c>
      <c r="Q24" s="260" t="str"/>
    </row>
    <row r="25" ht="22" customHeight="1" s="48">
      <c r="A25" s="261" t="inlineStr">
        <is>
          <t>YT-001</t>
        </is>
      </c>
      <c r="B25" s="297" t="inlineStr">
        <is>
          <t>⑤ 剪辑 Edit</t>
        </is>
      </c>
      <c r="C25" s="261" t="n">
        <v>5</v>
      </c>
      <c r="D25" s="261" t="inlineStr">
        <is>
          <t>结构检查</t>
        </is>
      </c>
      <c r="E25" s="261" t="inlineStr">
        <is>
          <t>识别拖沓、跳跃与信息过载</t>
        </is>
      </c>
      <c r="F25" s="261" t="inlineStr">
        <is>
          <t>是否需要删掉完整段落</t>
        </is>
      </c>
      <c r="G25" s="261" t="inlineStr">
        <is>
          <t>Picture Lock 草案</t>
        </is>
      </c>
      <c r="H25" s="295" t="inlineStr">
        <is>
          <t>未开始</t>
        </is>
      </c>
      <c r="I25" s="261" t="inlineStr">
        <is>
          <t>P0</t>
        </is>
      </c>
      <c r="J25" s="261" t="inlineStr">
        <is>
          <t>Gedi</t>
        </is>
      </c>
      <c r="K25" s="285" t="n">
        <v>46241</v>
      </c>
      <c r="L25" s="285" t="str"/>
      <c r="M25" s="285" t="n">
        <v>46243</v>
      </c>
      <c r="N25" s="261" t="str"/>
      <c r="O25" s="261" t="str"/>
      <c r="P25" s="284">
        <f>IF(H25="已完成",1,IF(H25="待审核",0.8,IF(H25="进行中",0.5,IF(H25="已阻塞",0.25,0))))</f>
        <v/>
      </c>
      <c r="Q25" s="261" t="str"/>
    </row>
    <row r="26" ht="22" customHeight="1" s="48">
      <c r="A26" s="260" t="inlineStr">
        <is>
          <t>YT-001</t>
        </is>
      </c>
      <c r="B26" s="298" t="inlineStr">
        <is>
          <t>⑥ 特效 Motion</t>
        </is>
      </c>
      <c r="C26" s="260" t="n">
        <v>6</v>
      </c>
      <c r="D26" s="260" t="inlineStr">
        <is>
          <t>列出 Motion 需求</t>
        </is>
      </c>
      <c r="E26" s="260" t="inlineStr">
        <is>
          <t>识别适合动画、Tracking、图表的段落</t>
        </is>
      </c>
      <c r="F26" s="260" t="inlineStr">
        <is>
          <t>特效是否必要</t>
        </is>
      </c>
      <c r="G26" s="260" t="inlineStr">
        <is>
          <t>Motion List</t>
        </is>
      </c>
      <c r="H26" s="295" t="inlineStr">
        <is>
          <t>未开始</t>
        </is>
      </c>
      <c r="I26" s="260" t="inlineStr">
        <is>
          <t>P1</t>
        </is>
      </c>
      <c r="J26" s="260" t="inlineStr">
        <is>
          <t>Gedi</t>
        </is>
      </c>
      <c r="K26" s="287" t="n">
        <v>46243</v>
      </c>
      <c r="L26" s="287" t="str"/>
      <c r="M26" s="287" t="n">
        <v>46245</v>
      </c>
      <c r="N26" s="260" t="str"/>
      <c r="O26" s="260" t="str"/>
      <c r="P26" s="286">
        <f>IF(H26="已完成",1,IF(H26="待审核",0.8,IF(H26="进行中",0.5,IF(H26="已阻塞",0.25,0))))</f>
        <v/>
      </c>
      <c r="Q26" s="260" t="str"/>
    </row>
    <row r="27" ht="22" customHeight="1" s="48">
      <c r="A27" s="261" t="inlineStr">
        <is>
          <t>YT-001</t>
        </is>
      </c>
      <c r="B27" s="298" t="inlineStr">
        <is>
          <t>⑥ 特效 Motion</t>
        </is>
      </c>
      <c r="C27" s="261" t="n">
        <v>6</v>
      </c>
      <c r="D27" s="261" t="inlineStr">
        <is>
          <t>设计 Fusion Nodes</t>
        </is>
      </c>
      <c r="E27" s="261" t="inlineStr">
        <is>
          <t>生成节点结构建议与参数说明</t>
        </is>
      </c>
      <c r="F27" s="261" t="inlineStr">
        <is>
          <t>是否可维护、是否风格统一</t>
        </is>
      </c>
      <c r="G27" s="261" t="inlineStr">
        <is>
          <t>Fusion 节点方案</t>
        </is>
      </c>
      <c r="H27" s="295" t="inlineStr">
        <is>
          <t>未开始</t>
        </is>
      </c>
      <c r="I27" s="261" t="inlineStr">
        <is>
          <t>P1</t>
        </is>
      </c>
      <c r="J27" s="261" t="inlineStr">
        <is>
          <t>Gedi</t>
        </is>
      </c>
      <c r="K27" s="285" t="n">
        <v>46243</v>
      </c>
      <c r="L27" s="285" t="str"/>
      <c r="M27" s="285" t="n">
        <v>46245</v>
      </c>
      <c r="N27" s="261" t="str"/>
      <c r="O27" s="261" t="str"/>
      <c r="P27" s="284">
        <f>IF(H27="已完成",1,IF(H27="待审核",0.8,IF(H27="进行中",0.5,IF(H27="已阻塞",0.25,0))))</f>
        <v/>
      </c>
      <c r="Q27" s="261" t="str"/>
    </row>
    <row r="28" ht="22" customHeight="1" s="48">
      <c r="A28" s="260" t="inlineStr">
        <is>
          <t>YT-001</t>
        </is>
      </c>
      <c r="B28" s="298" t="inlineStr">
        <is>
          <t>⑥ 特效 Motion</t>
        </is>
      </c>
      <c r="C28" s="260" t="n">
        <v>6</v>
      </c>
      <c r="D28" s="260" t="inlineStr">
        <is>
          <t>完成 Tracking / 标注</t>
        </is>
      </c>
      <c r="E28" s="260" t="inlineStr">
        <is>
          <t>辅助选择跟踪方式与修复策略</t>
        </is>
      </c>
      <c r="F28" s="260" t="inlineStr">
        <is>
          <t>跟踪是否稳定自然</t>
        </is>
      </c>
      <c r="G28" s="260" t="inlineStr">
        <is>
          <t>Motion V1</t>
        </is>
      </c>
      <c r="H28" s="295" t="inlineStr">
        <is>
          <t>未开始</t>
        </is>
      </c>
      <c r="I28" s="260" t="inlineStr">
        <is>
          <t>P1</t>
        </is>
      </c>
      <c r="J28" s="260" t="inlineStr">
        <is>
          <t>Gedi</t>
        </is>
      </c>
      <c r="K28" s="287" t="n">
        <v>46243</v>
      </c>
      <c r="L28" s="287" t="str"/>
      <c r="M28" s="287" t="n">
        <v>46245</v>
      </c>
      <c r="N28" s="260" t="str"/>
      <c r="O28" s="260" t="str"/>
      <c r="P28" s="286">
        <f>IF(H28="已完成",1,IF(H28="待审核",0.8,IF(H28="进行中",0.5,IF(H28="已阻塞",0.25,0))))</f>
        <v/>
      </c>
      <c r="Q28" s="260" t="str"/>
    </row>
    <row r="29" ht="22" customHeight="1" s="48">
      <c r="A29" s="261" t="inlineStr">
        <is>
          <t>YT-001</t>
        </is>
      </c>
      <c r="B29" s="298" t="inlineStr">
        <is>
          <t>⑥ 特效 Motion</t>
        </is>
      </c>
      <c r="C29" s="261" t="n">
        <v>6</v>
      </c>
      <c r="D29" s="261" t="inlineStr">
        <is>
          <t>统一信息可视化风格</t>
        </is>
      </c>
      <c r="E29" s="261" t="inlineStr">
        <is>
          <t>生成版式、动画节奏与组件规范</t>
        </is>
      </c>
      <c r="F29" s="261" t="inlineStr">
        <is>
          <t>可读性优先还是装饰性优先</t>
        </is>
      </c>
      <c r="G29" s="261" t="inlineStr">
        <is>
          <t>Motion Lock</t>
        </is>
      </c>
      <c r="H29" s="295" t="inlineStr">
        <is>
          <t>未开始</t>
        </is>
      </c>
      <c r="I29" s="261" t="inlineStr">
        <is>
          <t>P1</t>
        </is>
      </c>
      <c r="J29" s="261" t="inlineStr">
        <is>
          <t>Gedi</t>
        </is>
      </c>
      <c r="K29" s="285" t="n">
        <v>46243</v>
      </c>
      <c r="L29" s="285" t="str"/>
      <c r="M29" s="285" t="n">
        <v>46245</v>
      </c>
      <c r="N29" s="261" t="str"/>
      <c r="O29" s="261" t="str"/>
      <c r="P29" s="284">
        <f>IF(H29="已完成",1,IF(H29="待审核",0.8,IF(H29="进行中",0.5,IF(H29="已阻塞",0.25,0))))</f>
        <v/>
      </c>
      <c r="Q29" s="261" t="str"/>
    </row>
    <row r="30" ht="22" customHeight="1" s="48">
      <c r="A30" s="260" t="inlineStr">
        <is>
          <t>YT-001</t>
        </is>
      </c>
      <c r="B30" s="299" t="inlineStr">
        <is>
          <t>⑦ 后期 Post</t>
        </is>
      </c>
      <c r="C30" s="260" t="n">
        <v>7</v>
      </c>
      <c r="D30" s="260" t="inlineStr">
        <is>
          <t>基础调色与镜头匹配</t>
        </is>
      </c>
      <c r="E30" s="260" t="inlineStr">
        <is>
          <t>分析曝光、白平衡与镜头差异</t>
        </is>
      </c>
      <c r="F30" s="260" t="inlineStr">
        <is>
          <t>最终审美方向</t>
        </is>
      </c>
      <c r="G30" s="260" t="inlineStr">
        <is>
          <t>Color Pass</t>
        </is>
      </c>
      <c r="H30" s="295" t="inlineStr">
        <is>
          <t>未开始</t>
        </is>
      </c>
      <c r="I30" s="260" t="inlineStr">
        <is>
          <t>P1</t>
        </is>
      </c>
      <c r="J30" s="260" t="inlineStr">
        <is>
          <t>Gedi</t>
        </is>
      </c>
      <c r="K30" s="287" t="n">
        <v>46245</v>
      </c>
      <c r="L30" s="287" t="str"/>
      <c r="M30" s="287" t="n">
        <v>46247</v>
      </c>
      <c r="N30" s="260" t="str"/>
      <c r="O30" s="260" t="str"/>
      <c r="P30" s="286">
        <f>IF(H30="已完成",1,IF(H30="待审核",0.8,IF(H30="进行中",0.5,IF(H30="已阻塞",0.25,0))))</f>
        <v/>
      </c>
      <c r="Q30" s="260" t="str"/>
    </row>
    <row r="31" ht="22" customHeight="1" s="48">
      <c r="A31" s="261" t="inlineStr">
        <is>
          <t>YT-001</t>
        </is>
      </c>
      <c r="B31" s="299" t="inlineStr">
        <is>
          <t>⑦ 后期 Post</t>
        </is>
      </c>
      <c r="C31" s="261" t="n">
        <v>7</v>
      </c>
      <c r="D31" s="261" t="inlineStr">
        <is>
          <t>人声清理与响度</t>
        </is>
      </c>
      <c r="E31" s="261" t="inlineStr">
        <is>
          <t>降噪、去齿音、响度建议</t>
        </is>
      </c>
      <c r="F31" s="261" t="inlineStr">
        <is>
          <t>是否损失自然质感</t>
        </is>
      </c>
      <c r="G31" s="261" t="inlineStr">
        <is>
          <t>Audio Mix</t>
        </is>
      </c>
      <c r="H31" s="295" t="inlineStr">
        <is>
          <t>未开始</t>
        </is>
      </c>
      <c r="I31" s="261" t="inlineStr">
        <is>
          <t>P0</t>
        </is>
      </c>
      <c r="J31" s="261" t="inlineStr">
        <is>
          <t>Gedi</t>
        </is>
      </c>
      <c r="K31" s="285" t="n">
        <v>46245</v>
      </c>
      <c r="L31" s="285" t="str"/>
      <c r="M31" s="285" t="n">
        <v>46247</v>
      </c>
      <c r="N31" s="261" t="str"/>
      <c r="O31" s="261" t="str"/>
      <c r="P31" s="284">
        <f>IF(H31="已完成",1,IF(H31="待审核",0.8,IF(H31="进行中",0.5,IF(H31="已阻塞",0.25,0))))</f>
        <v/>
      </c>
      <c r="Q31" s="261" t="str"/>
    </row>
    <row r="32" ht="22" customHeight="1" s="48">
      <c r="A32" s="260" t="inlineStr">
        <is>
          <t>YT-001</t>
        </is>
      </c>
      <c r="B32" s="299" t="inlineStr">
        <is>
          <t>⑦ 后期 Post</t>
        </is>
      </c>
      <c r="C32" s="260" t="n">
        <v>7</v>
      </c>
      <c r="D32" s="260" t="inlineStr">
        <is>
          <t>音乐与音效设计</t>
        </is>
      </c>
      <c r="E32" s="260" t="inlineStr">
        <is>
          <t>按情绪曲线推荐音乐位置</t>
        </is>
      </c>
      <c r="F32" s="260" t="inlineStr">
        <is>
          <t>是否喧宾夺主、版权是否安全</t>
        </is>
      </c>
      <c r="G32" s="260" t="inlineStr">
        <is>
          <t>Music/SFX Pass</t>
        </is>
      </c>
      <c r="H32" s="295" t="inlineStr">
        <is>
          <t>未开始</t>
        </is>
      </c>
      <c r="I32" s="260" t="inlineStr">
        <is>
          <t>P1</t>
        </is>
      </c>
      <c r="J32" s="260" t="inlineStr">
        <is>
          <t>Gedi</t>
        </is>
      </c>
      <c r="K32" s="287" t="n">
        <v>46245</v>
      </c>
      <c r="L32" s="287" t="str"/>
      <c r="M32" s="287" t="n">
        <v>46247</v>
      </c>
      <c r="N32" s="260" t="str"/>
      <c r="O32" s="260" t="str"/>
      <c r="P32" s="286">
        <f>IF(H32="已完成",1,IF(H32="待审核",0.8,IF(H32="进行中",0.5,IF(H32="已阻塞",0.25,0))))</f>
        <v/>
      </c>
      <c r="Q32" s="260" t="str"/>
    </row>
    <row r="33" ht="22" customHeight="1" s="48">
      <c r="A33" s="261" t="inlineStr">
        <is>
          <t>YT-001</t>
        </is>
      </c>
      <c r="B33" s="299" t="inlineStr">
        <is>
          <t>⑦ 后期 Post</t>
        </is>
      </c>
      <c r="C33" s="261" t="n">
        <v>7</v>
      </c>
      <c r="D33" s="261" t="inlineStr">
        <is>
          <t>最终 QC</t>
        </is>
      </c>
      <c r="E33" s="261" t="inlineStr">
        <is>
          <t>检查黑帧、错字、跳切、版权与导出参数</t>
        </is>
      </c>
      <c r="F33" s="261" t="inlineStr">
        <is>
          <t>是否达到发布标准</t>
        </is>
      </c>
      <c r="G33" s="261" t="inlineStr">
        <is>
          <t>Master Export</t>
        </is>
      </c>
      <c r="H33" s="295" t="inlineStr">
        <is>
          <t>未开始</t>
        </is>
      </c>
      <c r="I33" s="261" t="inlineStr">
        <is>
          <t>P0</t>
        </is>
      </c>
      <c r="J33" s="261" t="inlineStr">
        <is>
          <t>Gedi</t>
        </is>
      </c>
      <c r="K33" s="285" t="n">
        <v>46245</v>
      </c>
      <c r="L33" s="285" t="str"/>
      <c r="M33" s="285" t="n">
        <v>46247</v>
      </c>
      <c r="N33" s="261" t="str"/>
      <c r="O33" s="261" t="str"/>
      <c r="P33" s="284">
        <f>IF(H33="已完成",1,IF(H33="待审核",0.8,IF(H33="进行中",0.5,IF(H33="已阻塞",0.25,0))))</f>
        <v/>
      </c>
      <c r="Q33" s="261" t="str"/>
    </row>
    <row r="34" ht="22" customHeight="1" s="48">
      <c r="A34" s="260" t="inlineStr">
        <is>
          <t>YT-001</t>
        </is>
      </c>
      <c r="B34" s="300" t="inlineStr">
        <is>
          <t>⑧ 发布 Publish</t>
        </is>
      </c>
      <c r="C34" s="260" t="n">
        <v>8</v>
      </c>
      <c r="D34" s="260" t="inlineStr">
        <is>
          <t>生成标题候选</t>
        </is>
      </c>
      <c r="E34" s="260" t="inlineStr">
        <is>
          <t>基于价值承诺和搜索意图生成标题</t>
        </is>
      </c>
      <c r="F34" s="260" t="inlineStr">
        <is>
          <t>是否准确、有吸引力、不误导</t>
        </is>
      </c>
      <c r="G34" s="260" t="inlineStr">
        <is>
          <t>3–5 个标题</t>
        </is>
      </c>
      <c r="H34" s="295" t="inlineStr">
        <is>
          <t>未开始</t>
        </is>
      </c>
      <c r="I34" s="260" t="inlineStr">
        <is>
          <t>P0</t>
        </is>
      </c>
      <c r="J34" s="260" t="inlineStr">
        <is>
          <t>Gedi</t>
        </is>
      </c>
      <c r="K34" s="287" t="n">
        <v>46247</v>
      </c>
      <c r="L34" s="287" t="str"/>
      <c r="M34" s="287" t="n">
        <v>46249</v>
      </c>
      <c r="N34" s="260" t="str"/>
      <c r="O34" s="260" t="str"/>
      <c r="P34" s="286">
        <f>IF(H34="已完成",1,IF(H34="待审核",0.8,IF(H34="进行中",0.5,IF(H34="已阻塞",0.25,0))))</f>
        <v/>
      </c>
      <c r="Q34" s="260" t="str"/>
    </row>
    <row r="35" ht="22" customHeight="1" s="48">
      <c r="A35" s="261" t="inlineStr">
        <is>
          <t>YT-001</t>
        </is>
      </c>
      <c r="B35" s="300" t="inlineStr">
        <is>
          <t>⑧ 发布 Publish</t>
        </is>
      </c>
      <c r="C35" s="261" t="n">
        <v>8</v>
      </c>
      <c r="D35" s="261" t="inlineStr">
        <is>
          <t>设计缩略图方向</t>
        </is>
      </c>
      <c r="E35" s="261" t="inlineStr">
        <is>
          <t>生成视觉概念、文案与对比方案</t>
        </is>
      </c>
      <c r="F35" s="261" t="inlineStr">
        <is>
          <t>手机端是否一眼可读</t>
        </is>
      </c>
      <c r="G35" s="261" t="inlineStr">
        <is>
          <t>缩略图 A/B</t>
        </is>
      </c>
      <c r="H35" s="295" t="inlineStr">
        <is>
          <t>未开始</t>
        </is>
      </c>
      <c r="I35" s="261" t="inlineStr">
        <is>
          <t>P0</t>
        </is>
      </c>
      <c r="J35" s="261" t="inlineStr">
        <is>
          <t>Gedi</t>
        </is>
      </c>
      <c r="K35" s="285" t="n">
        <v>46247</v>
      </c>
      <c r="L35" s="285" t="str"/>
      <c r="M35" s="285" t="n">
        <v>46249</v>
      </c>
      <c r="N35" s="261" t="str"/>
      <c r="O35" s="261" t="str"/>
      <c r="P35" s="284">
        <f>IF(H35="已完成",1,IF(H35="待审核",0.8,IF(H35="进行中",0.5,IF(H35="已阻塞",0.25,0))))</f>
        <v/>
      </c>
      <c r="Q35" s="261" t="str"/>
    </row>
    <row r="36" ht="22" customHeight="1" s="48">
      <c r="A36" s="260" t="inlineStr">
        <is>
          <t>YT-001</t>
        </is>
      </c>
      <c r="B36" s="300" t="inlineStr">
        <is>
          <t>⑧ 发布 Publish</t>
        </is>
      </c>
      <c r="C36" s="260" t="n">
        <v>8</v>
      </c>
      <c r="D36" s="260" t="inlineStr">
        <is>
          <t>完成描述、章节与 SEO</t>
        </is>
      </c>
      <c r="E36" s="260" t="inlineStr">
        <is>
          <t>生成描述、关键词与章节</t>
        </is>
      </c>
      <c r="F36" s="260" t="inlineStr">
        <is>
          <t>是否自然、有用、不堆关键词</t>
        </is>
      </c>
      <c r="G36" s="260" t="inlineStr">
        <is>
          <t>发布文案包</t>
        </is>
      </c>
      <c r="H36" s="295" t="inlineStr">
        <is>
          <t>未开始</t>
        </is>
      </c>
      <c r="I36" s="260" t="inlineStr">
        <is>
          <t>P1</t>
        </is>
      </c>
      <c r="J36" s="260" t="inlineStr">
        <is>
          <t>Gedi</t>
        </is>
      </c>
      <c r="K36" s="287" t="n">
        <v>46247</v>
      </c>
      <c r="L36" s="287" t="str"/>
      <c r="M36" s="287" t="n">
        <v>46249</v>
      </c>
      <c r="N36" s="260" t="str"/>
      <c r="O36" s="260" t="str"/>
      <c r="P36" s="286">
        <f>IF(H36="已完成",1,IF(H36="待审核",0.8,IF(H36="进行中",0.5,IF(H36="已阻塞",0.25,0))))</f>
        <v/>
      </c>
      <c r="Q36" s="260" t="str"/>
    </row>
    <row r="37" ht="22" customHeight="1" s="48">
      <c r="A37" s="261" t="inlineStr">
        <is>
          <t>YT-001</t>
        </is>
      </c>
      <c r="B37" s="300" t="inlineStr">
        <is>
          <t>⑧ 发布 Publish</t>
        </is>
      </c>
      <c r="C37" s="261" t="n">
        <v>8</v>
      </c>
      <c r="D37" s="261" t="inlineStr">
        <is>
          <t>排期与发布检查</t>
        </is>
      </c>
      <c r="E37" s="261" t="inlineStr">
        <is>
          <t>建议发布时间并检查元数据</t>
        </is>
      </c>
      <c r="F37" s="261" t="inlineStr">
        <is>
          <t>是否与受众活跃时间匹配</t>
        </is>
      </c>
      <c r="G37" s="261" t="inlineStr">
        <is>
          <t>已发布视频</t>
        </is>
      </c>
      <c r="H37" s="295" t="inlineStr">
        <is>
          <t>未开始</t>
        </is>
      </c>
      <c r="I37" s="261" t="inlineStr">
        <is>
          <t>P0</t>
        </is>
      </c>
      <c r="J37" s="261" t="inlineStr">
        <is>
          <t>Gedi</t>
        </is>
      </c>
      <c r="K37" s="285" t="n">
        <v>46247</v>
      </c>
      <c r="L37" s="285" t="str"/>
      <c r="M37" s="285" t="n">
        <v>46249</v>
      </c>
      <c r="N37" s="261" t="str"/>
      <c r="O37" s="261" t="str"/>
      <c r="P37" s="284">
        <f>IF(H37="已完成",1,IF(H37="待审核",0.8,IF(H37="进行中",0.5,IF(H37="已阻塞",0.25,0))))</f>
        <v/>
      </c>
      <c r="Q37" s="261" t="str"/>
    </row>
    <row r="38" ht="22" customHeight="1" s="48">
      <c r="A38" s="260" t="inlineStr">
        <is>
          <t>YT-001</t>
        </is>
      </c>
      <c r="B38" s="301" t="inlineStr">
        <is>
          <t>⑨ 复盘 Optimize</t>
        </is>
      </c>
      <c r="C38" s="260" t="n">
        <v>9</v>
      </c>
      <c r="D38" s="260" t="inlineStr">
        <is>
          <t>记录 24 小时表现</t>
        </is>
      </c>
      <c r="E38" s="260" t="inlineStr">
        <is>
          <t>汇总曝光、CTR、留存、互动</t>
        </is>
      </c>
      <c r="F38" s="260" t="inlineStr">
        <is>
          <t>是否达到预期基线</t>
        </is>
      </c>
      <c r="G38" s="260" t="inlineStr">
        <is>
          <t>24h 复盘</t>
        </is>
      </c>
      <c r="H38" s="295" t="inlineStr">
        <is>
          <t>未开始</t>
        </is>
      </c>
      <c r="I38" s="260" t="inlineStr">
        <is>
          <t>P1</t>
        </is>
      </c>
      <c r="J38" s="260" t="inlineStr">
        <is>
          <t>Gedi</t>
        </is>
      </c>
      <c r="K38" s="287" t="n">
        <v>46249</v>
      </c>
      <c r="L38" s="287" t="str"/>
      <c r="M38" s="287" t="n">
        <v>46251</v>
      </c>
      <c r="N38" s="260" t="str"/>
      <c r="O38" s="260" t="str"/>
      <c r="P38" s="286">
        <f>IF(H38="已完成",1,IF(H38="待审核",0.8,IF(H38="进行中",0.5,IF(H38="已阻塞",0.25,0))))</f>
        <v/>
      </c>
      <c r="Q38" s="260" t="str"/>
    </row>
    <row r="39" ht="22" customHeight="1" s="48">
      <c r="A39" s="261" t="inlineStr">
        <is>
          <t>YT-001</t>
        </is>
      </c>
      <c r="B39" s="301" t="inlineStr">
        <is>
          <t>⑨ 复盘 Optimize</t>
        </is>
      </c>
      <c r="C39" s="261" t="n">
        <v>9</v>
      </c>
      <c r="D39" s="261" t="inlineStr">
        <is>
          <t>分析留存曲线</t>
        </is>
      </c>
      <c r="E39" s="261" t="inlineStr">
        <is>
          <t>识别流失点、重看点与章节差异</t>
        </is>
      </c>
      <c r="F39" s="261" t="inlineStr">
        <is>
          <t>问题来自选题、脚本还是剪辑</t>
        </is>
      </c>
      <c r="G39" s="261" t="inlineStr">
        <is>
          <t>留存诊断</t>
        </is>
      </c>
      <c r="H39" s="295" t="inlineStr">
        <is>
          <t>未开始</t>
        </is>
      </c>
      <c r="I39" s="261" t="inlineStr">
        <is>
          <t>P0</t>
        </is>
      </c>
      <c r="J39" s="261" t="inlineStr">
        <is>
          <t>Gedi</t>
        </is>
      </c>
      <c r="K39" s="285" t="n">
        <v>46249</v>
      </c>
      <c r="L39" s="285" t="str"/>
      <c r="M39" s="285" t="n">
        <v>46251</v>
      </c>
      <c r="N39" s="261" t="str"/>
      <c r="O39" s="261" t="str"/>
      <c r="P39" s="284">
        <f>IF(H39="已完成",1,IF(H39="待审核",0.8,IF(H39="进行中",0.5,IF(H39="已阻塞",0.25,0))))</f>
        <v/>
      </c>
      <c r="Q39" s="261" t="str"/>
    </row>
    <row r="40" ht="22" customHeight="1" s="48">
      <c r="A40" s="260" t="inlineStr">
        <is>
          <t>YT-001</t>
        </is>
      </c>
      <c r="B40" s="301" t="inlineStr">
        <is>
          <t>⑨ 复盘 Optimize</t>
        </is>
      </c>
      <c r="C40" s="260" t="n">
        <v>9</v>
      </c>
      <c r="D40" s="260" t="inlineStr">
        <is>
          <t>总结评论与受众语言</t>
        </is>
      </c>
      <c r="E40" s="260" t="inlineStr">
        <is>
          <t>聚类评论、问题与情绪</t>
        </is>
      </c>
      <c r="F40" s="260" t="inlineStr">
        <is>
          <t>哪些反馈代表核心受众</t>
        </is>
      </c>
      <c r="G40" s="260" t="inlineStr">
        <is>
          <t>评论洞察</t>
        </is>
      </c>
      <c r="H40" s="295" t="inlineStr">
        <is>
          <t>未开始</t>
        </is>
      </c>
      <c r="I40" s="260" t="inlineStr">
        <is>
          <t>P1</t>
        </is>
      </c>
      <c r="J40" s="260" t="inlineStr">
        <is>
          <t>Gedi</t>
        </is>
      </c>
      <c r="K40" s="287" t="n">
        <v>46249</v>
      </c>
      <c r="L40" s="287" t="str"/>
      <c r="M40" s="287" t="n">
        <v>46251</v>
      </c>
      <c r="N40" s="260" t="str"/>
      <c r="O40" s="260" t="str"/>
      <c r="P40" s="286">
        <f>IF(H40="已完成",1,IF(H40="待审核",0.8,IF(H40="进行中",0.5,IF(H40="已阻塞",0.25,0))))</f>
        <v/>
      </c>
      <c r="Q40" s="260" t="str"/>
    </row>
    <row r="41" ht="22" customHeight="1" s="48">
      <c r="A41" s="261" t="inlineStr">
        <is>
          <t>YT-001</t>
        </is>
      </c>
      <c r="B41" s="301" t="inlineStr">
        <is>
          <t>⑨ 复盘 Optimize</t>
        </is>
      </c>
      <c r="C41" s="261" t="n">
        <v>9</v>
      </c>
      <c r="D41" s="261" t="inlineStr">
        <is>
          <t>形成下一期实验</t>
        </is>
      </c>
      <c r="E41" s="261" t="inlineStr">
        <is>
          <t>提出可验证的标题、Hook、节奏实验</t>
        </is>
      </c>
      <c r="F41" s="261" t="inlineStr">
        <is>
          <t>下一期只改变哪些变量</t>
        </is>
      </c>
      <c r="G41" s="261" t="inlineStr">
        <is>
          <t>下期实验卡</t>
        </is>
      </c>
      <c r="H41" s="295" t="inlineStr">
        <is>
          <t>未开始</t>
        </is>
      </c>
      <c r="I41" s="261" t="inlineStr">
        <is>
          <t>P0</t>
        </is>
      </c>
      <c r="J41" s="261" t="inlineStr">
        <is>
          <t>Gedi</t>
        </is>
      </c>
      <c r="K41" s="285" t="n">
        <v>46249</v>
      </c>
      <c r="L41" s="285" t="str"/>
      <c r="M41" s="285" t="n">
        <v>46251</v>
      </c>
      <c r="N41" s="261" t="str"/>
      <c r="O41" s="261" t="str"/>
      <c r="P41" s="284">
        <f>IF(H41="已完成",1,IF(H41="待审核",0.8,IF(H41="进行中",0.5,IF(H41="已阻塞",0.25,0))))</f>
        <v/>
      </c>
      <c r="Q41" s="261" t="str"/>
    </row>
    <row r="42" ht="22" customHeight="1" s="48">
      <c r="A42" s="260" t="str"/>
      <c r="B42" s="260" t="str"/>
      <c r="C42" s="260" t="str"/>
      <c r="D42" s="260" t="str"/>
      <c r="E42" s="260" t="str"/>
      <c r="F42" s="260" t="str"/>
      <c r="G42" s="260" t="str"/>
      <c r="H42" s="302" t="str"/>
      <c r="I42" s="260" t="str"/>
      <c r="J42" s="260" t="str"/>
      <c r="K42" s="287" t="str"/>
      <c r="L42" s="287" t="str"/>
      <c r="M42" s="287" t="str"/>
      <c r="N42" s="260" t="str"/>
      <c r="O42" s="260" t="str"/>
      <c r="P42" s="286">
        <f>IF(H42="已完成",1,IF(H42="待审核",0.8,IF(H42="进行中",0.5,IF(H42="已阻塞",0.25,0))))</f>
        <v/>
      </c>
      <c r="Q42" s="260" t="str"/>
    </row>
    <row r="43" ht="22" customHeight="1" s="48">
      <c r="A43" s="261" t="str"/>
      <c r="B43" s="261" t="str"/>
      <c r="C43" s="261" t="str"/>
      <c r="D43" s="261" t="str"/>
      <c r="E43" s="261" t="str"/>
      <c r="F43" s="261" t="str"/>
      <c r="G43" s="261" t="str"/>
      <c r="H43" s="303" t="str"/>
      <c r="I43" s="261" t="str"/>
      <c r="J43" s="261" t="str"/>
      <c r="K43" s="285" t="str"/>
      <c r="L43" s="285" t="str"/>
      <c r="M43" s="285" t="str"/>
      <c r="N43" s="261" t="str"/>
      <c r="O43" s="261" t="str"/>
      <c r="P43" s="284">
        <f>IF(H43="已完成",1,IF(H43="待审核",0.8,IF(H43="进行中",0.5,IF(H43="已阻塞",0.25,0))))</f>
        <v/>
      </c>
      <c r="Q43" s="261" t="str"/>
    </row>
    <row r="44" ht="22" customHeight="1" s="48">
      <c r="A44" s="260" t="str"/>
      <c r="B44" s="260" t="str"/>
      <c r="C44" s="260" t="str"/>
      <c r="D44" s="260" t="str"/>
      <c r="E44" s="260" t="str"/>
      <c r="F44" s="260" t="str"/>
      <c r="G44" s="260" t="str"/>
      <c r="H44" s="302" t="str"/>
      <c r="I44" s="260" t="str"/>
      <c r="J44" s="260" t="str"/>
      <c r="K44" s="287" t="str"/>
      <c r="L44" s="287" t="str"/>
      <c r="M44" s="287" t="str"/>
      <c r="N44" s="260" t="str"/>
      <c r="O44" s="260" t="str"/>
      <c r="P44" s="286">
        <f>IF(H44="已完成",1,IF(H44="待审核",0.8,IF(H44="进行中",0.5,IF(H44="已阻塞",0.25,0))))</f>
        <v/>
      </c>
      <c r="Q44" s="260" t="str"/>
    </row>
    <row r="45" ht="22" customHeight="1" s="48">
      <c r="A45" s="261" t="str"/>
      <c r="B45" s="261" t="str"/>
      <c r="C45" s="261" t="str"/>
      <c r="D45" s="261" t="str"/>
      <c r="E45" s="261" t="str"/>
      <c r="F45" s="261" t="str"/>
      <c r="G45" s="261" t="str"/>
      <c r="H45" s="303" t="str"/>
      <c r="I45" s="261" t="str"/>
      <c r="J45" s="261" t="str"/>
      <c r="K45" s="285" t="str"/>
      <c r="L45" s="285" t="str"/>
      <c r="M45" s="285" t="str"/>
      <c r="N45" s="261" t="str"/>
      <c r="O45" s="261" t="str"/>
      <c r="P45" s="284">
        <f>IF(H45="已完成",1,IF(H45="待审核",0.8,IF(H45="进行中",0.5,IF(H45="已阻塞",0.25,0))))</f>
        <v/>
      </c>
      <c r="Q45" s="261" t="str"/>
    </row>
    <row r="46" ht="22" customHeight="1" s="48">
      <c r="A46" s="260" t="str"/>
      <c r="B46" s="260" t="str"/>
      <c r="C46" s="260" t="str"/>
      <c r="D46" s="260" t="str"/>
      <c r="E46" s="260" t="str"/>
      <c r="F46" s="260" t="str"/>
      <c r="G46" s="260" t="str"/>
      <c r="H46" s="302" t="str"/>
      <c r="I46" s="260" t="str"/>
      <c r="J46" s="260" t="str"/>
      <c r="K46" s="287" t="str"/>
      <c r="L46" s="287" t="str"/>
      <c r="M46" s="287" t="str"/>
      <c r="N46" s="260" t="str"/>
      <c r="O46" s="260" t="str"/>
      <c r="P46" s="286">
        <f>IF(H46="已完成",1,IF(H46="待审核",0.8,IF(H46="进行中",0.5,IF(H46="已阻塞",0.25,0))))</f>
        <v/>
      </c>
      <c r="Q46" s="260" t="str"/>
    </row>
    <row r="47" ht="22" customHeight="1" s="48">
      <c r="A47" s="261" t="str"/>
      <c r="B47" s="261" t="str"/>
      <c r="C47" s="261" t="str"/>
      <c r="D47" s="261" t="str"/>
      <c r="E47" s="261" t="str"/>
      <c r="F47" s="261" t="str"/>
      <c r="G47" s="261" t="str"/>
      <c r="H47" s="303" t="str"/>
      <c r="I47" s="261" t="str"/>
      <c r="J47" s="261" t="str"/>
      <c r="K47" s="285" t="str"/>
      <c r="L47" s="285" t="str"/>
      <c r="M47" s="285" t="str"/>
      <c r="N47" s="261" t="str"/>
      <c r="O47" s="261" t="str"/>
      <c r="P47" s="284">
        <f>IF(H47="已完成",1,IF(H47="待审核",0.8,IF(H47="进行中",0.5,IF(H47="已阻塞",0.25,0))))</f>
        <v/>
      </c>
      <c r="Q47" s="261" t="str"/>
    </row>
    <row r="48" ht="22" customHeight="1" s="48">
      <c r="A48" s="260" t="str"/>
      <c r="B48" s="260" t="str"/>
      <c r="C48" s="260" t="str"/>
      <c r="D48" s="260" t="str"/>
      <c r="E48" s="260" t="str"/>
      <c r="F48" s="260" t="str"/>
      <c r="G48" s="260" t="str"/>
      <c r="H48" s="302" t="str"/>
      <c r="I48" s="260" t="str"/>
      <c r="J48" s="260" t="str"/>
      <c r="K48" s="287" t="str"/>
      <c r="L48" s="287" t="str"/>
      <c r="M48" s="287" t="str"/>
      <c r="N48" s="260" t="str"/>
      <c r="O48" s="260" t="str"/>
      <c r="P48" s="286">
        <f>IF(H48="已完成",1,IF(H48="待审核",0.8,IF(H48="进行中",0.5,IF(H48="已阻塞",0.25,0))))</f>
        <v/>
      </c>
      <c r="Q48" s="260" t="str"/>
    </row>
    <row r="49" ht="22" customHeight="1" s="48">
      <c r="A49" s="261" t="str"/>
      <c r="B49" s="261" t="str"/>
      <c r="C49" s="261" t="str"/>
      <c r="D49" s="261" t="str"/>
      <c r="E49" s="261" t="str"/>
      <c r="F49" s="261" t="str"/>
      <c r="G49" s="261" t="str"/>
      <c r="H49" s="303" t="str"/>
      <c r="I49" s="261" t="str"/>
      <c r="J49" s="261" t="str"/>
      <c r="K49" s="285" t="str"/>
      <c r="L49" s="285" t="str"/>
      <c r="M49" s="285" t="str"/>
      <c r="N49" s="261" t="str"/>
      <c r="O49" s="261" t="str"/>
      <c r="P49" s="284">
        <f>IF(H49="已完成",1,IF(H49="待审核",0.8,IF(H49="进行中",0.5,IF(H49="已阻塞",0.25,0))))</f>
        <v/>
      </c>
      <c r="Q49" s="261" t="str"/>
    </row>
    <row r="50" ht="22" customHeight="1" s="48">
      <c r="A50" s="260" t="str"/>
      <c r="B50" s="260" t="str"/>
      <c r="C50" s="260" t="str"/>
      <c r="D50" s="260" t="str"/>
      <c r="E50" s="260" t="str"/>
      <c r="F50" s="260" t="str"/>
      <c r="G50" s="260" t="str"/>
      <c r="H50" s="302" t="str"/>
      <c r="I50" s="260" t="str"/>
      <c r="J50" s="260" t="str"/>
      <c r="K50" s="287" t="str"/>
      <c r="L50" s="287" t="str"/>
      <c r="M50" s="287" t="str"/>
      <c r="N50" s="260" t="str"/>
      <c r="O50" s="260" t="str"/>
      <c r="P50" s="286">
        <f>IF(H50="已完成",1,IF(H50="待审核",0.8,IF(H50="进行中",0.5,IF(H50="已阻塞",0.25,0))))</f>
        <v/>
      </c>
      <c r="Q50" s="260" t="str"/>
    </row>
    <row r="51" ht="22" customHeight="1" s="48">
      <c r="A51" s="261" t="str"/>
      <c r="B51" s="261" t="str"/>
      <c r="C51" s="261" t="str"/>
      <c r="D51" s="261" t="str"/>
      <c r="E51" s="261" t="str"/>
      <c r="F51" s="261" t="str"/>
      <c r="G51" s="261" t="str"/>
      <c r="H51" s="303" t="str"/>
      <c r="I51" s="261" t="str"/>
      <c r="J51" s="261" t="str"/>
      <c r="K51" s="285" t="str"/>
      <c r="L51" s="285" t="str"/>
      <c r="M51" s="285" t="str"/>
      <c r="N51" s="261" t="str"/>
      <c r="O51" s="261" t="str"/>
      <c r="P51" s="284">
        <f>IF(H51="已完成",1,IF(H51="待审核",0.8,IF(H51="进行中",0.5,IF(H51="已阻塞",0.25,0))))</f>
        <v/>
      </c>
      <c r="Q51" s="261" t="str"/>
    </row>
    <row r="52" ht="22" customHeight="1" s="48">
      <c r="A52" s="260" t="str"/>
      <c r="B52" s="260" t="str"/>
      <c r="C52" s="260" t="str"/>
      <c r="D52" s="260" t="str"/>
      <c r="E52" s="260" t="str"/>
      <c r="F52" s="260" t="str"/>
      <c r="G52" s="260" t="str"/>
      <c r="H52" s="302" t="str"/>
      <c r="I52" s="260" t="str"/>
      <c r="J52" s="260" t="str"/>
      <c r="K52" s="287" t="str"/>
      <c r="L52" s="287" t="str"/>
      <c r="M52" s="287" t="str"/>
      <c r="N52" s="260" t="str"/>
      <c r="O52" s="260" t="str"/>
      <c r="P52" s="286">
        <f>IF(H52="已完成",1,IF(H52="待审核",0.8,IF(H52="进行中",0.5,IF(H52="已阻塞",0.25,0))))</f>
        <v/>
      </c>
      <c r="Q52" s="260" t="str"/>
    </row>
    <row r="53" ht="22" customHeight="1" s="48">
      <c r="A53" s="261" t="str"/>
      <c r="B53" s="261" t="str"/>
      <c r="C53" s="261" t="str"/>
      <c r="D53" s="261" t="str"/>
      <c r="E53" s="261" t="str"/>
      <c r="F53" s="261" t="str"/>
      <c r="G53" s="261" t="str"/>
      <c r="H53" s="303" t="str"/>
      <c r="I53" s="261" t="str"/>
      <c r="J53" s="261" t="str"/>
      <c r="K53" s="285" t="str"/>
      <c r="L53" s="285" t="str"/>
      <c r="M53" s="285" t="str"/>
      <c r="N53" s="261" t="str"/>
      <c r="O53" s="261" t="str"/>
      <c r="P53" s="284">
        <f>IF(H53="已完成",1,IF(H53="待审核",0.8,IF(H53="进行中",0.5,IF(H53="已阻塞",0.25,0))))</f>
        <v/>
      </c>
      <c r="Q53" s="261" t="str"/>
    </row>
    <row r="54" ht="22" customHeight="1" s="48">
      <c r="A54" s="260" t="str"/>
      <c r="B54" s="260" t="str"/>
      <c r="C54" s="260" t="str"/>
      <c r="D54" s="260" t="str"/>
      <c r="E54" s="260" t="str"/>
      <c r="F54" s="260" t="str"/>
      <c r="G54" s="260" t="str"/>
      <c r="H54" s="302" t="str"/>
      <c r="I54" s="260" t="str"/>
      <c r="J54" s="260" t="str"/>
      <c r="K54" s="287" t="str"/>
      <c r="L54" s="287" t="str"/>
      <c r="M54" s="287" t="str"/>
      <c r="N54" s="260" t="str"/>
      <c r="O54" s="260" t="str"/>
      <c r="P54" s="286">
        <f>IF(H54="已完成",1,IF(H54="待审核",0.8,IF(H54="进行中",0.5,IF(H54="已阻塞",0.25,0))))</f>
        <v/>
      </c>
      <c r="Q54" s="260" t="str"/>
    </row>
    <row r="55" ht="22" customHeight="1" s="48">
      <c r="A55" s="261" t="str"/>
      <c r="B55" s="261" t="str"/>
      <c r="C55" s="261" t="str"/>
      <c r="D55" s="261" t="str"/>
      <c r="E55" s="261" t="str"/>
      <c r="F55" s="261" t="str"/>
      <c r="G55" s="261" t="str"/>
      <c r="H55" s="303" t="str"/>
      <c r="I55" s="261" t="str"/>
      <c r="J55" s="261" t="str"/>
      <c r="K55" s="285" t="str"/>
      <c r="L55" s="285" t="str"/>
      <c r="M55" s="285" t="str"/>
      <c r="N55" s="261" t="str"/>
      <c r="O55" s="261" t="str"/>
      <c r="P55" s="284">
        <f>IF(H55="已完成",1,IF(H55="待审核",0.8,IF(H55="进行中",0.5,IF(H55="已阻塞",0.25,0))))</f>
        <v/>
      </c>
      <c r="Q55" s="261" t="str"/>
    </row>
    <row r="56" ht="22" customHeight="1" s="48">
      <c r="A56" s="260" t="str"/>
      <c r="B56" s="260" t="str"/>
      <c r="C56" s="260" t="str"/>
      <c r="D56" s="260" t="str"/>
      <c r="E56" s="260" t="str"/>
      <c r="F56" s="260" t="str"/>
      <c r="G56" s="260" t="str"/>
      <c r="H56" s="302" t="str"/>
      <c r="I56" s="260" t="str"/>
      <c r="J56" s="260" t="str"/>
      <c r="K56" s="287" t="str"/>
      <c r="L56" s="287" t="str"/>
      <c r="M56" s="287" t="str"/>
      <c r="N56" s="260" t="str"/>
      <c r="O56" s="260" t="str"/>
      <c r="P56" s="286">
        <f>IF(H56="已完成",1,IF(H56="待审核",0.8,IF(H56="进行中",0.5,IF(H56="已阻塞",0.25,0))))</f>
        <v/>
      </c>
      <c r="Q56" s="260" t="str"/>
    </row>
    <row r="57" ht="22" customHeight="1" s="48">
      <c r="A57" s="261" t="str"/>
      <c r="B57" s="261" t="str"/>
      <c r="C57" s="261" t="str"/>
      <c r="D57" s="261" t="str"/>
      <c r="E57" s="261" t="str"/>
      <c r="F57" s="261" t="str"/>
      <c r="G57" s="261" t="str"/>
      <c r="H57" s="303" t="str"/>
      <c r="I57" s="261" t="str"/>
      <c r="J57" s="261" t="str"/>
      <c r="K57" s="285" t="str"/>
      <c r="L57" s="285" t="str"/>
      <c r="M57" s="285" t="str"/>
      <c r="N57" s="261" t="str"/>
      <c r="O57" s="261" t="str"/>
      <c r="P57" s="284">
        <f>IF(H57="已完成",1,IF(H57="待审核",0.8,IF(H57="进行中",0.5,IF(H57="已阻塞",0.25,0))))</f>
        <v/>
      </c>
      <c r="Q57" s="261" t="str"/>
    </row>
    <row r="58" ht="22" customHeight="1" s="48">
      <c r="A58" s="260" t="str"/>
      <c r="B58" s="260" t="str"/>
      <c r="C58" s="260" t="str"/>
      <c r="D58" s="260" t="str"/>
      <c r="E58" s="260" t="str"/>
      <c r="F58" s="260" t="str"/>
      <c r="G58" s="260" t="str"/>
      <c r="H58" s="302" t="str"/>
      <c r="I58" s="260" t="str"/>
      <c r="J58" s="260" t="str"/>
      <c r="K58" s="287" t="str"/>
      <c r="L58" s="287" t="str"/>
      <c r="M58" s="287" t="str"/>
      <c r="N58" s="260" t="str"/>
      <c r="O58" s="260" t="str"/>
      <c r="P58" s="286">
        <f>IF(H58="已完成",1,IF(H58="待审核",0.8,IF(H58="进行中",0.5,IF(H58="已阻塞",0.25,0))))</f>
        <v/>
      </c>
      <c r="Q58" s="260" t="str"/>
    </row>
    <row r="59" ht="22" customHeight="1" s="48">
      <c r="A59" s="261" t="str"/>
      <c r="B59" s="261" t="str"/>
      <c r="C59" s="261" t="str"/>
      <c r="D59" s="261" t="str"/>
      <c r="E59" s="261" t="str"/>
      <c r="F59" s="261" t="str"/>
      <c r="G59" s="261" t="str"/>
      <c r="H59" s="303" t="str"/>
      <c r="I59" s="261" t="str"/>
      <c r="J59" s="261" t="str"/>
      <c r="K59" s="285" t="str"/>
      <c r="L59" s="285" t="str"/>
      <c r="M59" s="285" t="str"/>
      <c r="N59" s="261" t="str"/>
      <c r="O59" s="261" t="str"/>
      <c r="P59" s="284">
        <f>IF(H59="已完成",1,IF(H59="待审核",0.8,IF(H59="进行中",0.5,IF(H59="已阻塞",0.25,0))))</f>
        <v/>
      </c>
      <c r="Q59" s="261" t="str"/>
    </row>
    <row r="60" ht="22" customHeight="1" s="48">
      <c r="A60" s="260" t="str"/>
      <c r="B60" s="260" t="str"/>
      <c r="C60" s="260" t="str"/>
      <c r="D60" s="260" t="str"/>
      <c r="E60" s="260" t="str"/>
      <c r="F60" s="260" t="str"/>
      <c r="G60" s="260" t="str"/>
      <c r="H60" s="302" t="str"/>
      <c r="I60" s="260" t="str"/>
      <c r="J60" s="260" t="str"/>
      <c r="K60" s="287" t="str"/>
      <c r="L60" s="287" t="str"/>
      <c r="M60" s="287" t="str"/>
      <c r="N60" s="260" t="str"/>
      <c r="O60" s="260" t="str"/>
      <c r="P60" s="286">
        <f>IF(H60="已完成",1,IF(H60="待审核",0.8,IF(H60="进行中",0.5,IF(H60="已阻塞",0.25,0))))</f>
        <v/>
      </c>
      <c r="Q60" s="260" t="str"/>
    </row>
    <row r="61" ht="22" customHeight="1" s="48">
      <c r="A61" s="261" t="str"/>
      <c r="B61" s="261" t="str"/>
      <c r="C61" s="261" t="str"/>
      <c r="D61" s="261" t="str"/>
      <c r="E61" s="261" t="str"/>
      <c r="F61" s="261" t="str"/>
      <c r="G61" s="261" t="str"/>
      <c r="H61" s="303" t="str"/>
      <c r="I61" s="261" t="str"/>
      <c r="J61" s="261" t="str"/>
      <c r="K61" s="285" t="str"/>
      <c r="L61" s="285" t="str"/>
      <c r="M61" s="285" t="str"/>
      <c r="N61" s="261" t="str"/>
      <c r="O61" s="261" t="str"/>
      <c r="P61" s="284">
        <f>IF(H61="已完成",1,IF(H61="待审核",0.8,IF(H61="进行中",0.5,IF(H61="已阻塞",0.25,0))))</f>
        <v/>
      </c>
      <c r="Q61" s="261" t="str"/>
    </row>
    <row r="62" ht="22" customHeight="1" s="48">
      <c r="A62" s="260" t="str"/>
      <c r="B62" s="260" t="str"/>
      <c r="C62" s="260" t="str"/>
      <c r="D62" s="260" t="str"/>
      <c r="E62" s="260" t="str"/>
      <c r="F62" s="260" t="str"/>
      <c r="G62" s="260" t="str"/>
      <c r="H62" s="302" t="str"/>
      <c r="I62" s="260" t="str"/>
      <c r="J62" s="260" t="str"/>
      <c r="K62" s="287" t="str"/>
      <c r="L62" s="287" t="str"/>
      <c r="M62" s="287" t="str"/>
      <c r="N62" s="260" t="str"/>
      <c r="O62" s="260" t="str"/>
      <c r="P62" s="286">
        <f>IF(H62="已完成",1,IF(H62="待审核",0.8,IF(H62="进行中",0.5,IF(H62="已阻塞",0.25,0))))</f>
        <v/>
      </c>
      <c r="Q62" s="260" t="str"/>
    </row>
    <row r="63" ht="22" customHeight="1" s="48">
      <c r="A63" s="261" t="str"/>
      <c r="B63" s="261" t="str"/>
      <c r="C63" s="261" t="str"/>
      <c r="D63" s="261" t="str"/>
      <c r="E63" s="261" t="str"/>
      <c r="F63" s="261" t="str"/>
      <c r="G63" s="261" t="str"/>
      <c r="H63" s="303" t="str"/>
      <c r="I63" s="261" t="str"/>
      <c r="J63" s="261" t="str"/>
      <c r="K63" s="285" t="str"/>
      <c r="L63" s="285" t="str"/>
      <c r="M63" s="285" t="str"/>
      <c r="N63" s="261" t="str"/>
      <c r="O63" s="261" t="str"/>
      <c r="P63" s="284">
        <f>IF(H63="已完成",1,IF(H63="待审核",0.8,IF(H63="进行中",0.5,IF(H63="已阻塞",0.25,0))))</f>
        <v/>
      </c>
      <c r="Q63" s="261" t="str"/>
    </row>
    <row r="64" ht="22" customHeight="1" s="48">
      <c r="A64" s="260" t="str"/>
      <c r="B64" s="260" t="str"/>
      <c r="C64" s="260" t="str"/>
      <c r="D64" s="260" t="str"/>
      <c r="E64" s="260" t="str"/>
      <c r="F64" s="260" t="str"/>
      <c r="G64" s="260" t="str"/>
      <c r="H64" s="302" t="str"/>
      <c r="I64" s="260" t="str"/>
      <c r="J64" s="260" t="str"/>
      <c r="K64" s="287" t="str"/>
      <c r="L64" s="287" t="str"/>
      <c r="M64" s="287" t="str"/>
      <c r="N64" s="260" t="str"/>
      <c r="O64" s="260" t="str"/>
      <c r="P64" s="286">
        <f>IF(H64="已完成",1,IF(H64="待审核",0.8,IF(H64="进行中",0.5,IF(H64="已阻塞",0.25,0))))</f>
        <v/>
      </c>
      <c r="Q64" s="260" t="str"/>
    </row>
    <row r="65" ht="22" customHeight="1" s="48">
      <c r="A65" s="261" t="str"/>
      <c r="B65" s="261" t="str"/>
      <c r="C65" s="261" t="str"/>
      <c r="D65" s="261" t="str"/>
      <c r="E65" s="261" t="str"/>
      <c r="F65" s="261" t="str"/>
      <c r="G65" s="261" t="str"/>
      <c r="H65" s="303" t="str"/>
      <c r="I65" s="261" t="str"/>
      <c r="J65" s="261" t="str"/>
      <c r="K65" s="285" t="str"/>
      <c r="L65" s="285" t="str"/>
      <c r="M65" s="285" t="str"/>
      <c r="N65" s="261" t="str"/>
      <c r="O65" s="261" t="str"/>
      <c r="P65" s="284">
        <f>IF(H65="已完成",1,IF(H65="待审核",0.8,IF(H65="进行中",0.5,IF(H65="已阻塞",0.25,0))))</f>
        <v/>
      </c>
      <c r="Q65" s="261" t="str"/>
    </row>
    <row r="66" ht="22" customHeight="1" s="48">
      <c r="A66" s="260" t="str"/>
      <c r="B66" s="260" t="str"/>
      <c r="C66" s="260" t="str"/>
      <c r="D66" s="260" t="str"/>
      <c r="E66" s="260" t="str"/>
      <c r="F66" s="260" t="str"/>
      <c r="G66" s="260" t="str"/>
      <c r="H66" s="302" t="str"/>
      <c r="I66" s="260" t="str"/>
      <c r="J66" s="260" t="str"/>
      <c r="K66" s="287" t="str"/>
      <c r="L66" s="287" t="str"/>
      <c r="M66" s="287" t="str"/>
      <c r="N66" s="260" t="str"/>
      <c r="O66" s="260" t="str"/>
      <c r="P66" s="286">
        <f>IF(H66="已完成",1,IF(H66="待审核",0.8,IF(H66="进行中",0.5,IF(H66="已阻塞",0.25,0))))</f>
        <v/>
      </c>
      <c r="Q66" s="260" t="str"/>
    </row>
    <row r="67" ht="22" customHeight="1" s="48">
      <c r="A67" s="261" t="str"/>
      <c r="B67" s="261" t="str"/>
      <c r="C67" s="261" t="str"/>
      <c r="D67" s="261" t="str"/>
      <c r="E67" s="261" t="str"/>
      <c r="F67" s="261" t="str"/>
      <c r="G67" s="261" t="str"/>
      <c r="H67" s="303" t="str"/>
      <c r="I67" s="261" t="str"/>
      <c r="J67" s="261" t="str"/>
      <c r="K67" s="285" t="str"/>
      <c r="L67" s="285" t="str"/>
      <c r="M67" s="285" t="str"/>
      <c r="N67" s="261" t="str"/>
      <c r="O67" s="261" t="str"/>
      <c r="P67" s="284">
        <f>IF(H67="已完成",1,IF(H67="待审核",0.8,IF(H67="进行中",0.5,IF(H67="已阻塞",0.25,0))))</f>
        <v/>
      </c>
      <c r="Q67" s="261" t="str"/>
    </row>
    <row r="68" ht="22" customHeight="1" s="48">
      <c r="A68" s="260" t="str"/>
      <c r="B68" s="260" t="str"/>
      <c r="C68" s="260" t="str"/>
      <c r="D68" s="260" t="str"/>
      <c r="E68" s="260" t="str"/>
      <c r="F68" s="260" t="str"/>
      <c r="G68" s="260" t="str"/>
      <c r="H68" s="302" t="str"/>
      <c r="I68" s="260" t="str"/>
      <c r="J68" s="260" t="str"/>
      <c r="K68" s="287" t="str"/>
      <c r="L68" s="287" t="str"/>
      <c r="M68" s="287" t="str"/>
      <c r="N68" s="260" t="str"/>
      <c r="O68" s="260" t="str"/>
      <c r="P68" s="286">
        <f>IF(H68="已完成",1,IF(H68="待审核",0.8,IF(H68="进行中",0.5,IF(H68="已阻塞",0.25,0))))</f>
        <v/>
      </c>
      <c r="Q68" s="260" t="str"/>
    </row>
    <row r="69" ht="22" customHeight="1" s="48">
      <c r="A69" s="261" t="str"/>
      <c r="B69" s="261" t="str"/>
      <c r="C69" s="261" t="str"/>
      <c r="D69" s="261" t="str"/>
      <c r="E69" s="261" t="str"/>
      <c r="F69" s="261" t="str"/>
      <c r="G69" s="261" t="str"/>
      <c r="H69" s="303" t="str"/>
      <c r="I69" s="261" t="str"/>
      <c r="J69" s="261" t="str"/>
      <c r="K69" s="285" t="str"/>
      <c r="L69" s="285" t="str"/>
      <c r="M69" s="285" t="str"/>
      <c r="N69" s="261" t="str"/>
      <c r="O69" s="261" t="str"/>
      <c r="P69" s="284">
        <f>IF(H69="已完成",1,IF(H69="待审核",0.8,IF(H69="进行中",0.5,IF(H69="已阻塞",0.25,0))))</f>
        <v/>
      </c>
      <c r="Q69" s="261" t="str"/>
    </row>
    <row r="70" ht="22" customHeight="1" s="48">
      <c r="A70" s="260" t="str"/>
      <c r="B70" s="260" t="str"/>
      <c r="C70" s="260" t="str"/>
      <c r="D70" s="260" t="str"/>
      <c r="E70" s="260" t="str"/>
      <c r="F70" s="260" t="str"/>
      <c r="G70" s="260" t="str"/>
      <c r="H70" s="302" t="str"/>
      <c r="I70" s="260" t="str"/>
      <c r="J70" s="260" t="str"/>
      <c r="K70" s="287" t="str"/>
      <c r="L70" s="287" t="str"/>
      <c r="M70" s="287" t="str"/>
      <c r="N70" s="260" t="str"/>
      <c r="O70" s="260" t="str"/>
      <c r="P70" s="286">
        <f>IF(H70="已完成",1,IF(H70="待审核",0.8,IF(H70="进行中",0.5,IF(H70="已阻塞",0.25,0))))</f>
        <v/>
      </c>
      <c r="Q70" s="260" t="str"/>
    </row>
    <row r="71" ht="22" customHeight="1" s="48">
      <c r="A71" s="261" t="str"/>
      <c r="B71" s="261" t="str"/>
      <c r="C71" s="261" t="str"/>
      <c r="D71" s="261" t="str"/>
      <c r="E71" s="261" t="str"/>
      <c r="F71" s="261" t="str"/>
      <c r="G71" s="261" t="str"/>
      <c r="H71" s="303" t="str"/>
      <c r="I71" s="261" t="str"/>
      <c r="J71" s="261" t="str"/>
      <c r="K71" s="285" t="str"/>
      <c r="L71" s="285" t="str"/>
      <c r="M71" s="285" t="str"/>
      <c r="N71" s="261" t="str"/>
      <c r="O71" s="261" t="str"/>
      <c r="P71" s="284">
        <f>IF(H71="已完成",1,IF(H71="待审核",0.8,IF(H71="进行中",0.5,IF(H71="已阻塞",0.25,0))))</f>
        <v/>
      </c>
      <c r="Q71" s="261" t="str"/>
    </row>
    <row r="72" ht="22" customHeight="1" s="48">
      <c r="A72" s="260" t="str"/>
      <c r="B72" s="260" t="str"/>
      <c r="C72" s="260" t="str"/>
      <c r="D72" s="260" t="str"/>
      <c r="E72" s="260" t="str"/>
      <c r="F72" s="260" t="str"/>
      <c r="G72" s="260" t="str"/>
      <c r="H72" s="302" t="str"/>
      <c r="I72" s="260" t="str"/>
      <c r="J72" s="260" t="str"/>
      <c r="K72" s="287" t="str"/>
      <c r="L72" s="287" t="str"/>
      <c r="M72" s="287" t="str"/>
      <c r="N72" s="260" t="str"/>
      <c r="O72" s="260" t="str"/>
      <c r="P72" s="286">
        <f>IF(H72="已完成",1,IF(H72="待审核",0.8,IF(H72="进行中",0.5,IF(H72="已阻塞",0.25,0))))</f>
        <v/>
      </c>
      <c r="Q72" s="260" t="str"/>
    </row>
    <row r="73" ht="22" customHeight="1" s="48">
      <c r="A73" s="261" t="str"/>
      <c r="B73" s="261" t="str"/>
      <c r="C73" s="261" t="str"/>
      <c r="D73" s="261" t="str"/>
      <c r="E73" s="261" t="str"/>
      <c r="F73" s="261" t="str"/>
      <c r="G73" s="261" t="str"/>
      <c r="H73" s="303" t="str"/>
      <c r="I73" s="261" t="str"/>
      <c r="J73" s="261" t="str"/>
      <c r="K73" s="285" t="str"/>
      <c r="L73" s="285" t="str"/>
      <c r="M73" s="285" t="str"/>
      <c r="N73" s="261" t="str"/>
      <c r="O73" s="261" t="str"/>
      <c r="P73" s="284">
        <f>IF(H73="已完成",1,IF(H73="待审核",0.8,IF(H73="进行中",0.5,IF(H73="已阻塞",0.25,0))))</f>
        <v/>
      </c>
      <c r="Q73" s="261" t="str"/>
    </row>
    <row r="74" ht="22" customHeight="1" s="48">
      <c r="A74" s="260" t="str"/>
      <c r="B74" s="260" t="str"/>
      <c r="C74" s="260" t="str"/>
      <c r="D74" s="260" t="str"/>
      <c r="E74" s="260" t="str"/>
      <c r="F74" s="260" t="str"/>
      <c r="G74" s="260" t="str"/>
      <c r="H74" s="302" t="str"/>
      <c r="I74" s="260" t="str"/>
      <c r="J74" s="260" t="str"/>
      <c r="K74" s="287" t="str"/>
      <c r="L74" s="287" t="str"/>
      <c r="M74" s="287" t="str"/>
      <c r="N74" s="260" t="str"/>
      <c r="O74" s="260" t="str"/>
      <c r="P74" s="286">
        <f>IF(H74="已完成",1,IF(H74="待审核",0.8,IF(H74="进行中",0.5,IF(H74="已阻塞",0.25,0))))</f>
        <v/>
      </c>
      <c r="Q74" s="260" t="str"/>
    </row>
    <row r="75" ht="22" customHeight="1" s="48">
      <c r="A75" s="261" t="str"/>
      <c r="B75" s="261" t="str"/>
      <c r="C75" s="261" t="str"/>
      <c r="D75" s="261" t="str"/>
      <c r="E75" s="261" t="str"/>
      <c r="F75" s="261" t="str"/>
      <c r="G75" s="261" t="str"/>
      <c r="H75" s="303" t="str"/>
      <c r="I75" s="261" t="str"/>
      <c r="J75" s="261" t="str"/>
      <c r="K75" s="285" t="str"/>
      <c r="L75" s="285" t="str"/>
      <c r="M75" s="285" t="str"/>
      <c r="N75" s="261" t="str"/>
      <c r="O75" s="261" t="str"/>
      <c r="P75" s="284">
        <f>IF(H75="已完成",1,IF(H75="待审核",0.8,IF(H75="进行中",0.5,IF(H75="已阻塞",0.25,0))))</f>
        <v/>
      </c>
      <c r="Q75" s="261" t="str"/>
    </row>
    <row r="76" ht="22" customHeight="1" s="48">
      <c r="A76" s="260" t="str"/>
      <c r="B76" s="260" t="str"/>
      <c r="C76" s="260" t="str"/>
      <c r="D76" s="260" t="str"/>
      <c r="E76" s="260" t="str"/>
      <c r="F76" s="260" t="str"/>
      <c r="G76" s="260" t="str"/>
      <c r="H76" s="302" t="str"/>
      <c r="I76" s="260" t="str"/>
      <c r="J76" s="260" t="str"/>
      <c r="K76" s="287" t="str"/>
      <c r="L76" s="287" t="str"/>
      <c r="M76" s="287" t="str"/>
      <c r="N76" s="260" t="str"/>
      <c r="O76" s="260" t="str"/>
      <c r="P76" s="286">
        <f>IF(H76="已完成",1,IF(H76="待审核",0.8,IF(H76="进行中",0.5,IF(H76="已阻塞",0.25,0))))</f>
        <v/>
      </c>
      <c r="Q76" s="260" t="str"/>
    </row>
    <row r="77" ht="22" customHeight="1" s="48">
      <c r="A77" s="261" t="str"/>
      <c r="B77" s="261" t="str"/>
      <c r="C77" s="261" t="str"/>
      <c r="D77" s="261" t="str"/>
      <c r="E77" s="261" t="str"/>
      <c r="F77" s="261" t="str"/>
      <c r="G77" s="261" t="str"/>
      <c r="H77" s="303" t="str"/>
      <c r="I77" s="261" t="str"/>
      <c r="J77" s="261" t="str"/>
      <c r="K77" s="285" t="str"/>
      <c r="L77" s="285" t="str"/>
      <c r="M77" s="285" t="str"/>
      <c r="N77" s="261" t="str"/>
      <c r="O77" s="261" t="str"/>
      <c r="P77" s="284">
        <f>IF(H77="已完成",1,IF(H77="待审核",0.8,IF(H77="进行中",0.5,IF(H77="已阻塞",0.25,0))))</f>
        <v/>
      </c>
      <c r="Q77" s="261" t="str"/>
    </row>
    <row r="78" ht="22" customHeight="1" s="48">
      <c r="A78" s="260" t="str"/>
      <c r="B78" s="260" t="str"/>
      <c r="C78" s="260" t="str"/>
      <c r="D78" s="260" t="str"/>
      <c r="E78" s="260" t="str"/>
      <c r="F78" s="260" t="str"/>
      <c r="G78" s="260" t="str"/>
      <c r="H78" s="302" t="str"/>
      <c r="I78" s="260" t="str"/>
      <c r="J78" s="260" t="str"/>
      <c r="K78" s="287" t="str"/>
      <c r="L78" s="287" t="str"/>
      <c r="M78" s="287" t="str"/>
      <c r="N78" s="260" t="str"/>
      <c r="O78" s="260" t="str"/>
      <c r="P78" s="286">
        <f>IF(H78="已完成",1,IF(H78="待审核",0.8,IF(H78="进行中",0.5,IF(H78="已阻塞",0.25,0))))</f>
        <v/>
      </c>
      <c r="Q78" s="260" t="str"/>
    </row>
    <row r="79" ht="22" customHeight="1" s="48">
      <c r="A79" s="261" t="str"/>
      <c r="B79" s="261" t="str"/>
      <c r="C79" s="261" t="str"/>
      <c r="D79" s="261" t="str"/>
      <c r="E79" s="261" t="str"/>
      <c r="F79" s="261" t="str"/>
      <c r="G79" s="261" t="str"/>
      <c r="H79" s="303" t="str"/>
      <c r="I79" s="261" t="str"/>
      <c r="J79" s="261" t="str"/>
      <c r="K79" s="285" t="str"/>
      <c r="L79" s="285" t="str"/>
      <c r="M79" s="285" t="str"/>
      <c r="N79" s="261" t="str"/>
      <c r="O79" s="261" t="str"/>
      <c r="P79" s="284">
        <f>IF(H79="已完成",1,IF(H79="待审核",0.8,IF(H79="进行中",0.5,IF(H79="已阻塞",0.25,0))))</f>
        <v/>
      </c>
      <c r="Q79" s="261" t="str"/>
    </row>
    <row r="80" ht="22" customHeight="1" s="48">
      <c r="A80" s="260" t="str"/>
      <c r="B80" s="260" t="str"/>
      <c r="C80" s="260" t="str"/>
      <c r="D80" s="260" t="str"/>
      <c r="E80" s="260" t="str"/>
      <c r="F80" s="260" t="str"/>
      <c r="G80" s="260" t="str"/>
      <c r="H80" s="302" t="str"/>
      <c r="I80" s="260" t="str"/>
      <c r="J80" s="260" t="str"/>
      <c r="K80" s="287" t="str"/>
      <c r="L80" s="287" t="str"/>
      <c r="M80" s="287" t="str"/>
      <c r="N80" s="260" t="str"/>
      <c r="O80" s="260" t="str"/>
      <c r="P80" s="286">
        <f>IF(H80="已完成",1,IF(H80="待审核",0.8,IF(H80="进行中",0.5,IF(H80="已阻塞",0.25,0))))</f>
        <v/>
      </c>
      <c r="Q80" s="260" t="str"/>
    </row>
    <row r="81" ht="22" customHeight="1" s="48">
      <c r="A81" s="261" t="str"/>
      <c r="B81" s="261" t="str"/>
      <c r="C81" s="261" t="str"/>
      <c r="D81" s="261" t="str"/>
      <c r="E81" s="261" t="str"/>
      <c r="F81" s="261" t="str"/>
      <c r="G81" s="261" t="str"/>
      <c r="H81" s="303" t="str"/>
      <c r="I81" s="261" t="str"/>
      <c r="J81" s="261" t="str"/>
      <c r="K81" s="285" t="str"/>
      <c r="L81" s="285" t="str"/>
      <c r="M81" s="285" t="str"/>
      <c r="N81" s="261" t="str"/>
      <c r="O81" s="261" t="str"/>
      <c r="P81" s="284">
        <f>IF(H81="已完成",1,IF(H81="待审核",0.8,IF(H81="进行中",0.5,IF(H81="已阻塞",0.25,0))))</f>
        <v/>
      </c>
      <c r="Q81" s="261" t="str"/>
    </row>
    <row r="82" ht="22" customHeight="1" s="48">
      <c r="A82" s="260" t="str"/>
      <c r="B82" s="260" t="str"/>
      <c r="C82" s="260" t="str"/>
      <c r="D82" s="260" t="str"/>
      <c r="E82" s="260" t="str"/>
      <c r="F82" s="260" t="str"/>
      <c r="G82" s="260" t="str"/>
      <c r="H82" s="302" t="str"/>
      <c r="I82" s="260" t="str"/>
      <c r="J82" s="260" t="str"/>
      <c r="K82" s="287" t="str"/>
      <c r="L82" s="287" t="str"/>
      <c r="M82" s="287" t="str"/>
      <c r="N82" s="260" t="str"/>
      <c r="O82" s="260" t="str"/>
      <c r="P82" s="286">
        <f>IF(H82="已完成",1,IF(H82="待审核",0.8,IF(H82="进行中",0.5,IF(H82="已阻塞",0.25,0))))</f>
        <v/>
      </c>
      <c r="Q82" s="260" t="str"/>
    </row>
    <row r="83" ht="22" customHeight="1" s="48">
      <c r="A83" s="261" t="str"/>
      <c r="B83" s="261" t="str"/>
      <c r="C83" s="261" t="str"/>
      <c r="D83" s="261" t="str"/>
      <c r="E83" s="261" t="str"/>
      <c r="F83" s="261" t="str"/>
      <c r="G83" s="261" t="str"/>
      <c r="H83" s="303" t="str"/>
      <c r="I83" s="261" t="str"/>
      <c r="J83" s="261" t="str"/>
      <c r="K83" s="285" t="str"/>
      <c r="L83" s="285" t="str"/>
      <c r="M83" s="285" t="str"/>
      <c r="N83" s="261" t="str"/>
      <c r="O83" s="261" t="str"/>
      <c r="P83" s="284">
        <f>IF(H83="已完成",1,IF(H83="待审核",0.8,IF(H83="进行中",0.5,IF(H83="已阻塞",0.25,0))))</f>
        <v/>
      </c>
      <c r="Q83" s="261" t="str"/>
    </row>
    <row r="84" ht="22" customHeight="1" s="48">
      <c r="A84" s="260" t="str"/>
      <c r="B84" s="260" t="str"/>
      <c r="C84" s="260" t="str"/>
      <c r="D84" s="260" t="str"/>
      <c r="E84" s="260" t="str"/>
      <c r="F84" s="260" t="str"/>
      <c r="G84" s="260" t="str"/>
      <c r="H84" s="302" t="str"/>
      <c r="I84" s="260" t="str"/>
      <c r="J84" s="260" t="str"/>
      <c r="K84" s="287" t="str"/>
      <c r="L84" s="287" t="str"/>
      <c r="M84" s="287" t="str"/>
      <c r="N84" s="260" t="str"/>
      <c r="O84" s="260" t="str"/>
      <c r="P84" s="286">
        <f>IF(H84="已完成",1,IF(H84="待审核",0.8,IF(H84="进行中",0.5,IF(H84="已阻塞",0.25,0))))</f>
        <v/>
      </c>
      <c r="Q84" s="260" t="str"/>
    </row>
    <row r="85" ht="22" customHeight="1" s="48">
      <c r="A85" s="261" t="str"/>
      <c r="B85" s="261" t="str"/>
      <c r="C85" s="261" t="str"/>
      <c r="D85" s="261" t="str"/>
      <c r="E85" s="261" t="str"/>
      <c r="F85" s="261" t="str"/>
      <c r="G85" s="261" t="str"/>
      <c r="H85" s="303" t="str"/>
      <c r="I85" s="261" t="str"/>
      <c r="J85" s="261" t="str"/>
      <c r="K85" s="285" t="str"/>
      <c r="L85" s="285" t="str"/>
      <c r="M85" s="285" t="str"/>
      <c r="N85" s="261" t="str"/>
      <c r="O85" s="261" t="str"/>
      <c r="P85" s="284">
        <f>IF(H85="已完成",1,IF(H85="待审核",0.8,IF(H85="进行中",0.5,IF(H85="已阻塞",0.25,0))))</f>
        <v/>
      </c>
      <c r="Q85" s="261" t="str"/>
    </row>
    <row r="86" ht="22" customHeight="1" s="48">
      <c r="A86" s="260" t="str"/>
      <c r="B86" s="260" t="str"/>
      <c r="C86" s="260" t="str"/>
      <c r="D86" s="260" t="str"/>
      <c r="E86" s="260" t="str"/>
      <c r="F86" s="260" t="str"/>
      <c r="G86" s="260" t="str"/>
      <c r="H86" s="302" t="str"/>
      <c r="I86" s="260" t="str"/>
      <c r="J86" s="260" t="str"/>
      <c r="K86" s="287" t="str"/>
      <c r="L86" s="287" t="str"/>
      <c r="M86" s="287" t="str"/>
      <c r="N86" s="260" t="str"/>
      <c r="O86" s="260" t="str"/>
      <c r="P86" s="286">
        <f>IF(H86="已完成",1,IF(H86="待审核",0.8,IF(H86="进行中",0.5,IF(H86="已阻塞",0.25,0))))</f>
        <v/>
      </c>
      <c r="Q86" s="260" t="str"/>
    </row>
    <row r="87" ht="22" customHeight="1" s="48">
      <c r="A87" s="261" t="str"/>
      <c r="B87" s="261" t="str"/>
      <c r="C87" s="261" t="str"/>
      <c r="D87" s="261" t="str"/>
      <c r="E87" s="261" t="str"/>
      <c r="F87" s="261" t="str"/>
      <c r="G87" s="261" t="str"/>
      <c r="H87" s="303" t="str"/>
      <c r="I87" s="261" t="str"/>
      <c r="J87" s="261" t="str"/>
      <c r="K87" s="285" t="str"/>
      <c r="L87" s="285" t="str"/>
      <c r="M87" s="285" t="str"/>
      <c r="N87" s="261" t="str"/>
      <c r="O87" s="261" t="str"/>
      <c r="P87" s="284">
        <f>IF(H87="已完成",1,IF(H87="待审核",0.8,IF(H87="进行中",0.5,IF(H87="已阻塞",0.25,0))))</f>
        <v/>
      </c>
      <c r="Q87" s="261" t="str"/>
    </row>
    <row r="88" ht="22" customHeight="1" s="48">
      <c r="A88" s="260" t="str"/>
      <c r="B88" s="260" t="str"/>
      <c r="C88" s="260" t="str"/>
      <c r="D88" s="260" t="str"/>
      <c r="E88" s="260" t="str"/>
      <c r="F88" s="260" t="str"/>
      <c r="G88" s="260" t="str"/>
      <c r="H88" s="302" t="str"/>
      <c r="I88" s="260" t="str"/>
      <c r="J88" s="260" t="str"/>
      <c r="K88" s="287" t="str"/>
      <c r="L88" s="287" t="str"/>
      <c r="M88" s="287" t="str"/>
      <c r="N88" s="260" t="str"/>
      <c r="O88" s="260" t="str"/>
      <c r="P88" s="286">
        <f>IF(H88="已完成",1,IF(H88="待审核",0.8,IF(H88="进行中",0.5,IF(H88="已阻塞",0.25,0))))</f>
        <v/>
      </c>
      <c r="Q88" s="260" t="str"/>
    </row>
    <row r="89" ht="22" customHeight="1" s="48">
      <c r="A89" s="261" t="str"/>
      <c r="B89" s="261" t="str"/>
      <c r="C89" s="261" t="str"/>
      <c r="D89" s="261" t="str"/>
      <c r="E89" s="261" t="str"/>
      <c r="F89" s="261" t="str"/>
      <c r="G89" s="261" t="str"/>
      <c r="H89" s="303" t="str"/>
      <c r="I89" s="261" t="str"/>
      <c r="J89" s="261" t="str"/>
      <c r="K89" s="285" t="str"/>
      <c r="L89" s="285" t="str"/>
      <c r="M89" s="285" t="str"/>
      <c r="N89" s="261" t="str"/>
      <c r="O89" s="261" t="str"/>
      <c r="P89" s="284">
        <f>IF(H89="已完成",1,IF(H89="待审核",0.8,IF(H89="进行中",0.5,IF(H89="已阻塞",0.25,0))))</f>
        <v/>
      </c>
      <c r="Q89" s="261" t="str"/>
    </row>
    <row r="90" ht="22" customHeight="1" s="48">
      <c r="A90" s="260" t="str"/>
      <c r="B90" s="260" t="str"/>
      <c r="C90" s="260" t="str"/>
      <c r="D90" s="260" t="str"/>
      <c r="E90" s="260" t="str"/>
      <c r="F90" s="260" t="str"/>
      <c r="G90" s="260" t="str"/>
      <c r="H90" s="302" t="str"/>
      <c r="I90" s="260" t="str"/>
      <c r="J90" s="260" t="str"/>
      <c r="K90" s="287" t="str"/>
      <c r="L90" s="287" t="str"/>
      <c r="M90" s="287" t="str"/>
      <c r="N90" s="260" t="str"/>
      <c r="O90" s="260" t="str"/>
      <c r="P90" s="286">
        <f>IF(H90="已完成",1,IF(H90="待审核",0.8,IF(H90="进行中",0.5,IF(H90="已阻塞",0.25,0))))</f>
        <v/>
      </c>
      <c r="Q90" s="260" t="str"/>
    </row>
    <row r="91" ht="22" customHeight="1" s="48">
      <c r="A91" s="261" t="str"/>
      <c r="B91" s="261" t="str"/>
      <c r="C91" s="261" t="str"/>
      <c r="D91" s="261" t="str"/>
      <c r="E91" s="261" t="str"/>
      <c r="F91" s="261" t="str"/>
      <c r="G91" s="261" t="str"/>
      <c r="H91" s="303" t="str"/>
      <c r="I91" s="261" t="str"/>
      <c r="J91" s="261" t="str"/>
      <c r="K91" s="285" t="str"/>
      <c r="L91" s="285" t="str"/>
      <c r="M91" s="285" t="str"/>
      <c r="N91" s="261" t="str"/>
      <c r="O91" s="261" t="str"/>
      <c r="P91" s="284">
        <f>IF(H91="已完成",1,IF(H91="待审核",0.8,IF(H91="进行中",0.5,IF(H91="已阻塞",0.25,0))))</f>
        <v/>
      </c>
      <c r="Q91" s="261" t="str"/>
    </row>
    <row r="92" ht="22" customHeight="1" s="48">
      <c r="A92" s="260" t="str"/>
      <c r="B92" s="260" t="str"/>
      <c r="C92" s="260" t="str"/>
      <c r="D92" s="260" t="str"/>
      <c r="E92" s="260" t="str"/>
      <c r="F92" s="260" t="str"/>
      <c r="G92" s="260" t="str"/>
      <c r="H92" s="302" t="str"/>
      <c r="I92" s="260" t="str"/>
      <c r="J92" s="260" t="str"/>
      <c r="K92" s="287" t="str"/>
      <c r="L92" s="287" t="str"/>
      <c r="M92" s="287" t="str"/>
      <c r="N92" s="260" t="str"/>
      <c r="O92" s="260" t="str"/>
      <c r="P92" s="286">
        <f>IF(H92="已完成",1,IF(H92="待审核",0.8,IF(H92="进行中",0.5,IF(H92="已阻塞",0.25,0))))</f>
        <v/>
      </c>
      <c r="Q92" s="260" t="str"/>
    </row>
    <row r="93" ht="22" customHeight="1" s="48">
      <c r="A93" s="261" t="str"/>
      <c r="B93" s="261" t="str"/>
      <c r="C93" s="261" t="str"/>
      <c r="D93" s="261" t="str"/>
      <c r="E93" s="261" t="str"/>
      <c r="F93" s="261" t="str"/>
      <c r="G93" s="261" t="str"/>
      <c r="H93" s="303" t="str"/>
      <c r="I93" s="261" t="str"/>
      <c r="J93" s="261" t="str"/>
      <c r="K93" s="285" t="str"/>
      <c r="L93" s="285" t="str"/>
      <c r="M93" s="285" t="str"/>
      <c r="N93" s="261" t="str"/>
      <c r="O93" s="261" t="str"/>
      <c r="P93" s="284">
        <f>IF(H93="已完成",1,IF(H93="待审核",0.8,IF(H93="进行中",0.5,IF(H93="已阻塞",0.25,0))))</f>
        <v/>
      </c>
      <c r="Q93" s="261" t="str"/>
    </row>
    <row r="94" ht="22" customHeight="1" s="48">
      <c r="A94" s="260" t="str"/>
      <c r="B94" s="260" t="str"/>
      <c r="C94" s="260" t="str"/>
      <c r="D94" s="260" t="str"/>
      <c r="E94" s="260" t="str"/>
      <c r="F94" s="260" t="str"/>
      <c r="G94" s="260" t="str"/>
      <c r="H94" s="302" t="str"/>
      <c r="I94" s="260" t="str"/>
      <c r="J94" s="260" t="str"/>
      <c r="K94" s="287" t="str"/>
      <c r="L94" s="287" t="str"/>
      <c r="M94" s="287" t="str"/>
      <c r="N94" s="260" t="str"/>
      <c r="O94" s="260" t="str"/>
      <c r="P94" s="286">
        <f>IF(H94="已完成",1,IF(H94="待审核",0.8,IF(H94="进行中",0.5,IF(H94="已阻塞",0.25,0))))</f>
        <v/>
      </c>
      <c r="Q94" s="260" t="str"/>
    </row>
    <row r="95" ht="22" customHeight="1" s="48">
      <c r="A95" s="261" t="str"/>
      <c r="B95" s="261" t="str"/>
      <c r="C95" s="261" t="str"/>
      <c r="D95" s="261" t="str"/>
      <c r="E95" s="261" t="str"/>
      <c r="F95" s="261" t="str"/>
      <c r="G95" s="261" t="str"/>
      <c r="H95" s="303" t="str"/>
      <c r="I95" s="261" t="str"/>
      <c r="J95" s="261" t="str"/>
      <c r="K95" s="285" t="str"/>
      <c r="L95" s="285" t="str"/>
      <c r="M95" s="285" t="str"/>
      <c r="N95" s="261" t="str"/>
      <c r="O95" s="261" t="str"/>
      <c r="P95" s="284">
        <f>IF(H95="已完成",1,IF(H95="待审核",0.8,IF(H95="进行中",0.5,IF(H95="已阻塞",0.25,0))))</f>
        <v/>
      </c>
      <c r="Q95" s="261" t="str"/>
    </row>
    <row r="96" ht="22" customHeight="1" s="48">
      <c r="A96" s="260" t="str"/>
      <c r="B96" s="260" t="str"/>
      <c r="C96" s="260" t="str"/>
      <c r="D96" s="260" t="str"/>
      <c r="E96" s="260" t="str"/>
      <c r="F96" s="260" t="str"/>
      <c r="G96" s="260" t="str"/>
      <c r="H96" s="302" t="str"/>
      <c r="I96" s="260" t="str"/>
      <c r="J96" s="260" t="str"/>
      <c r="K96" s="287" t="str"/>
      <c r="L96" s="287" t="str"/>
      <c r="M96" s="287" t="str"/>
      <c r="N96" s="260" t="str"/>
      <c r="O96" s="260" t="str"/>
      <c r="P96" s="286">
        <f>IF(H96="已完成",1,IF(H96="待审核",0.8,IF(H96="进行中",0.5,IF(H96="已阻塞",0.25,0))))</f>
        <v/>
      </c>
      <c r="Q96" s="260" t="str"/>
    </row>
    <row r="97" ht="22" customHeight="1" s="48">
      <c r="A97" s="261" t="str"/>
      <c r="B97" s="261" t="str"/>
      <c r="C97" s="261" t="str"/>
      <c r="D97" s="261" t="str"/>
      <c r="E97" s="261" t="str"/>
      <c r="F97" s="261" t="str"/>
      <c r="G97" s="261" t="str"/>
      <c r="H97" s="303" t="str"/>
      <c r="I97" s="261" t="str"/>
      <c r="J97" s="261" t="str"/>
      <c r="K97" s="285" t="str"/>
      <c r="L97" s="285" t="str"/>
      <c r="M97" s="285" t="str"/>
      <c r="N97" s="261" t="str"/>
      <c r="O97" s="261" t="str"/>
      <c r="P97" s="284">
        <f>IF(H97="已完成",1,IF(H97="待审核",0.8,IF(H97="进行中",0.5,IF(H97="已阻塞",0.25,0))))</f>
        <v/>
      </c>
      <c r="Q97" s="261" t="str"/>
    </row>
    <row r="98" ht="22" customHeight="1" s="48">
      <c r="A98" s="260" t="str"/>
      <c r="B98" s="260" t="str"/>
      <c r="C98" s="260" t="str"/>
      <c r="D98" s="260" t="str"/>
      <c r="E98" s="260" t="str"/>
      <c r="F98" s="260" t="str"/>
      <c r="G98" s="260" t="str"/>
      <c r="H98" s="302" t="str"/>
      <c r="I98" s="260" t="str"/>
      <c r="J98" s="260" t="str"/>
      <c r="K98" s="287" t="str"/>
      <c r="L98" s="287" t="str"/>
      <c r="M98" s="287" t="str"/>
      <c r="N98" s="260" t="str"/>
      <c r="O98" s="260" t="str"/>
      <c r="P98" s="286">
        <f>IF(H98="已完成",1,IF(H98="待审核",0.8,IF(H98="进行中",0.5,IF(H98="已阻塞",0.25,0))))</f>
        <v/>
      </c>
      <c r="Q98" s="260" t="str"/>
    </row>
    <row r="99" ht="22" customHeight="1" s="48">
      <c r="A99" s="261" t="str"/>
      <c r="B99" s="261" t="str"/>
      <c r="C99" s="261" t="str"/>
      <c r="D99" s="261" t="str"/>
      <c r="E99" s="261" t="str"/>
      <c r="F99" s="261" t="str"/>
      <c r="G99" s="261" t="str"/>
      <c r="H99" s="303" t="str"/>
      <c r="I99" s="261" t="str"/>
      <c r="J99" s="261" t="str"/>
      <c r="K99" s="285" t="str"/>
      <c r="L99" s="285" t="str"/>
      <c r="M99" s="285" t="str"/>
      <c r="N99" s="261" t="str"/>
      <c r="O99" s="261" t="str"/>
      <c r="P99" s="284">
        <f>IF(H99="已完成",1,IF(H99="待审核",0.8,IF(H99="进行中",0.5,IF(H99="已阻塞",0.25,0))))</f>
        <v/>
      </c>
      <c r="Q99" s="261" t="str"/>
    </row>
    <row r="100" ht="22" customHeight="1" s="48">
      <c r="A100" s="260" t="str"/>
      <c r="B100" s="260" t="str"/>
      <c r="C100" s="260" t="str"/>
      <c r="D100" s="260" t="str"/>
      <c r="E100" s="260" t="str"/>
      <c r="F100" s="260" t="str"/>
      <c r="G100" s="260" t="str"/>
      <c r="H100" s="302" t="str"/>
      <c r="I100" s="260" t="str"/>
      <c r="J100" s="260" t="str"/>
      <c r="K100" s="287" t="str"/>
      <c r="L100" s="287" t="str"/>
      <c r="M100" s="287" t="str"/>
      <c r="N100" s="260" t="str"/>
      <c r="O100" s="260" t="str"/>
      <c r="P100" s="286">
        <f>IF(H100="已完成",1,IF(H100="待审核",0.8,IF(H100="进行中",0.5,IF(H100="已阻塞",0.25,0))))</f>
        <v/>
      </c>
      <c r="Q100" s="260" t="str"/>
    </row>
    <row r="101" ht="22" customHeight="1" s="48">
      <c r="A101" s="261" t="str"/>
      <c r="B101" s="261" t="str"/>
      <c r="C101" s="261" t="str"/>
      <c r="D101" s="261" t="str"/>
      <c r="E101" s="261" t="str"/>
      <c r="F101" s="261" t="str"/>
      <c r="G101" s="261" t="str"/>
      <c r="H101" s="303" t="str"/>
      <c r="I101" s="261" t="str"/>
      <c r="J101" s="261" t="str"/>
      <c r="K101" s="285" t="str"/>
      <c r="L101" s="285" t="str"/>
      <c r="M101" s="285" t="str"/>
      <c r="N101" s="261" t="str"/>
      <c r="O101" s="261" t="str"/>
      <c r="P101" s="284">
        <f>IF(H101="已完成",1,IF(H101="待审核",0.8,IF(H101="进行中",0.5,IF(H101="已阻塞",0.25,0))))</f>
        <v/>
      </c>
      <c r="Q101" s="261" t="str"/>
    </row>
    <row r="102" ht="22" customHeight="1" s="48">
      <c r="A102" s="260" t="str"/>
      <c r="B102" s="260" t="str"/>
      <c r="C102" s="260" t="str"/>
      <c r="D102" s="260" t="str"/>
      <c r="E102" s="260" t="str"/>
      <c r="F102" s="260" t="str"/>
      <c r="G102" s="260" t="str"/>
      <c r="H102" s="302" t="str"/>
      <c r="I102" s="260" t="str"/>
      <c r="J102" s="260" t="str"/>
      <c r="K102" s="287" t="str"/>
      <c r="L102" s="287" t="str"/>
      <c r="M102" s="287" t="str"/>
      <c r="N102" s="260" t="str"/>
      <c r="O102" s="260" t="str"/>
      <c r="P102" s="286">
        <f>IF(H102="已完成",1,IF(H102="待审核",0.8,IF(H102="进行中",0.5,IF(H102="已阻塞",0.25,0))))</f>
        <v/>
      </c>
      <c r="Q102" s="260" t="str"/>
    </row>
    <row r="103" ht="22" customHeight="1" s="48">
      <c r="A103" s="261" t="str"/>
      <c r="B103" s="261" t="str"/>
      <c r="C103" s="261" t="str"/>
      <c r="D103" s="261" t="str"/>
      <c r="E103" s="261" t="str"/>
      <c r="F103" s="261" t="str"/>
      <c r="G103" s="261" t="str"/>
      <c r="H103" s="303" t="str"/>
      <c r="I103" s="261" t="str"/>
      <c r="J103" s="261" t="str"/>
      <c r="K103" s="285" t="str"/>
      <c r="L103" s="285" t="str"/>
      <c r="M103" s="285" t="str"/>
      <c r="N103" s="261" t="str"/>
      <c r="O103" s="261" t="str"/>
      <c r="P103" s="284">
        <f>IF(H103="已完成",1,IF(H103="待审核",0.8,IF(H103="进行中",0.5,IF(H103="已阻塞",0.25,0))))</f>
        <v/>
      </c>
      <c r="Q103" s="261" t="str"/>
    </row>
    <row r="104" ht="22" customHeight="1" s="48">
      <c r="A104" s="260" t="str"/>
      <c r="B104" s="260" t="str"/>
      <c r="C104" s="260" t="str"/>
      <c r="D104" s="260" t="str"/>
      <c r="E104" s="260" t="str"/>
      <c r="F104" s="260" t="str"/>
      <c r="G104" s="260" t="str"/>
      <c r="H104" s="302" t="str"/>
      <c r="I104" s="260" t="str"/>
      <c r="J104" s="260" t="str"/>
      <c r="K104" s="287" t="str"/>
      <c r="L104" s="287" t="str"/>
      <c r="M104" s="287" t="str"/>
      <c r="N104" s="260" t="str"/>
      <c r="O104" s="260" t="str"/>
      <c r="P104" s="286">
        <f>IF(H104="已完成",1,IF(H104="待审核",0.8,IF(H104="进行中",0.5,IF(H104="已阻塞",0.25,0))))</f>
        <v/>
      </c>
      <c r="Q104" s="260" t="str"/>
    </row>
    <row r="105" ht="22" customHeight="1" s="48">
      <c r="A105" s="261" t="str"/>
      <c r="B105" s="261" t="str"/>
      <c r="C105" s="261" t="str"/>
      <c r="D105" s="261" t="str"/>
      <c r="E105" s="261" t="str"/>
      <c r="F105" s="261" t="str"/>
      <c r="G105" s="261" t="str"/>
      <c r="H105" s="303" t="str"/>
      <c r="I105" s="261" t="str"/>
      <c r="J105" s="261" t="str"/>
      <c r="K105" s="285" t="str"/>
      <c r="L105" s="285" t="str"/>
      <c r="M105" s="285" t="str"/>
      <c r="N105" s="261" t="str"/>
      <c r="O105" s="261" t="str"/>
      <c r="P105" s="284">
        <f>IF(H105="已完成",1,IF(H105="待审核",0.8,IF(H105="进行中",0.5,IF(H105="已阻塞",0.25,0))))</f>
        <v/>
      </c>
      <c r="Q105" s="261" t="str"/>
    </row>
    <row r="106" ht="22" customHeight="1" s="48">
      <c r="A106" s="260" t="str"/>
      <c r="B106" s="260" t="str"/>
      <c r="C106" s="260" t="str"/>
      <c r="D106" s="260" t="str"/>
      <c r="E106" s="260" t="str"/>
      <c r="F106" s="260" t="str"/>
      <c r="G106" s="260" t="str"/>
      <c r="H106" s="302" t="str"/>
      <c r="I106" s="260" t="str"/>
      <c r="J106" s="260" t="str"/>
      <c r="K106" s="287" t="str"/>
      <c r="L106" s="287" t="str"/>
      <c r="M106" s="287" t="str"/>
      <c r="N106" s="260" t="str"/>
      <c r="O106" s="260" t="str"/>
      <c r="P106" s="286">
        <f>IF(H106="已完成",1,IF(H106="待审核",0.8,IF(H106="进行中",0.5,IF(H106="已阻塞",0.25,0))))</f>
        <v/>
      </c>
      <c r="Q106" s="260" t="str"/>
    </row>
    <row r="107" ht="22" customHeight="1" s="48">
      <c r="A107" s="261" t="str"/>
      <c r="B107" s="261" t="str"/>
      <c r="C107" s="261" t="str"/>
      <c r="D107" s="261" t="str"/>
      <c r="E107" s="261" t="str"/>
      <c r="F107" s="261" t="str"/>
      <c r="G107" s="261" t="str"/>
      <c r="H107" s="303" t="str"/>
      <c r="I107" s="261" t="str"/>
      <c r="J107" s="261" t="str"/>
      <c r="K107" s="285" t="str"/>
      <c r="L107" s="285" t="str"/>
      <c r="M107" s="285" t="str"/>
      <c r="N107" s="261" t="str"/>
      <c r="O107" s="261" t="str"/>
      <c r="P107" s="284">
        <f>IF(H107="已完成",1,IF(H107="待审核",0.8,IF(H107="进行中",0.5,IF(H107="已阻塞",0.25,0))))</f>
        <v/>
      </c>
      <c r="Q107" s="261" t="str"/>
    </row>
    <row r="108" ht="22" customHeight="1" s="48">
      <c r="A108" s="260" t="str"/>
      <c r="B108" s="260" t="str"/>
      <c r="C108" s="260" t="str"/>
      <c r="D108" s="260" t="str"/>
      <c r="E108" s="260" t="str"/>
      <c r="F108" s="260" t="str"/>
      <c r="G108" s="260" t="str"/>
      <c r="H108" s="302" t="str"/>
      <c r="I108" s="260" t="str"/>
      <c r="J108" s="260" t="str"/>
      <c r="K108" s="287" t="str"/>
      <c r="L108" s="287" t="str"/>
      <c r="M108" s="287" t="str"/>
      <c r="N108" s="260" t="str"/>
      <c r="O108" s="260" t="str"/>
      <c r="P108" s="286">
        <f>IF(H108="已完成",1,IF(H108="待审核",0.8,IF(H108="进行中",0.5,IF(H108="已阻塞",0.25,0))))</f>
        <v/>
      </c>
      <c r="Q108" s="260" t="str"/>
    </row>
    <row r="109" ht="22" customHeight="1" s="48">
      <c r="A109" s="261" t="str"/>
      <c r="B109" s="261" t="str"/>
      <c r="C109" s="261" t="str"/>
      <c r="D109" s="261" t="str"/>
      <c r="E109" s="261" t="str"/>
      <c r="F109" s="261" t="str"/>
      <c r="G109" s="261" t="str"/>
      <c r="H109" s="303" t="str"/>
      <c r="I109" s="261" t="str"/>
      <c r="J109" s="261" t="str"/>
      <c r="K109" s="285" t="str"/>
      <c r="L109" s="285" t="str"/>
      <c r="M109" s="285" t="str"/>
      <c r="N109" s="261" t="str"/>
      <c r="O109" s="261" t="str"/>
      <c r="P109" s="284">
        <f>IF(H109="已完成",1,IF(H109="待审核",0.8,IF(H109="进行中",0.5,IF(H109="已阻塞",0.25,0))))</f>
        <v/>
      </c>
      <c r="Q109" s="261" t="str"/>
    </row>
    <row r="110" ht="22" customHeight="1" s="48">
      <c r="A110" s="260" t="str"/>
      <c r="B110" s="260" t="str"/>
      <c r="C110" s="260" t="str"/>
      <c r="D110" s="260" t="str"/>
      <c r="E110" s="260" t="str"/>
      <c r="F110" s="260" t="str"/>
      <c r="G110" s="260" t="str"/>
      <c r="H110" s="302" t="str"/>
      <c r="I110" s="260" t="str"/>
      <c r="J110" s="260" t="str"/>
      <c r="K110" s="287" t="str"/>
      <c r="L110" s="287" t="str"/>
      <c r="M110" s="287" t="str"/>
      <c r="N110" s="260" t="str"/>
      <c r="O110" s="260" t="str"/>
      <c r="P110" s="286">
        <f>IF(H110="已完成",1,IF(H110="待审核",0.8,IF(H110="进行中",0.5,IF(H110="已阻塞",0.25,0))))</f>
        <v/>
      </c>
      <c r="Q110" s="260" t="str"/>
    </row>
    <row r="111" ht="22" customHeight="1" s="48">
      <c r="A111" s="261" t="str"/>
      <c r="B111" s="261" t="str"/>
      <c r="C111" s="261" t="str"/>
      <c r="D111" s="261" t="str"/>
      <c r="E111" s="261" t="str"/>
      <c r="F111" s="261" t="str"/>
      <c r="G111" s="261" t="str"/>
      <c r="H111" s="303" t="str"/>
      <c r="I111" s="261" t="str"/>
      <c r="J111" s="261" t="str"/>
      <c r="K111" s="285" t="str"/>
      <c r="L111" s="285" t="str"/>
      <c r="M111" s="285" t="str"/>
      <c r="N111" s="261" t="str"/>
      <c r="O111" s="261" t="str"/>
      <c r="P111" s="284">
        <f>IF(H111="已完成",1,IF(H111="待审核",0.8,IF(H111="进行中",0.5,IF(H111="已阻塞",0.25,0))))</f>
        <v/>
      </c>
      <c r="Q111" s="261" t="str"/>
    </row>
    <row r="112" ht="22" customHeight="1" s="48">
      <c r="A112" s="260" t="str"/>
      <c r="B112" s="260" t="str"/>
      <c r="C112" s="260" t="str"/>
      <c r="D112" s="260" t="str"/>
      <c r="E112" s="260" t="str"/>
      <c r="F112" s="260" t="str"/>
      <c r="G112" s="260" t="str"/>
      <c r="H112" s="302" t="str"/>
      <c r="I112" s="260" t="str"/>
      <c r="J112" s="260" t="str"/>
      <c r="K112" s="287" t="str"/>
      <c r="L112" s="287" t="str"/>
      <c r="M112" s="287" t="str"/>
      <c r="N112" s="260" t="str"/>
      <c r="O112" s="260" t="str"/>
      <c r="P112" s="286">
        <f>IF(H112="已完成",1,IF(H112="待审核",0.8,IF(H112="进行中",0.5,IF(H112="已阻塞",0.25,0))))</f>
        <v/>
      </c>
      <c r="Q112" s="260" t="str"/>
    </row>
    <row r="113" ht="22" customHeight="1" s="48">
      <c r="A113" s="261" t="str"/>
      <c r="B113" s="261" t="str"/>
      <c r="C113" s="261" t="str"/>
      <c r="D113" s="261" t="str"/>
      <c r="E113" s="261" t="str"/>
      <c r="F113" s="261" t="str"/>
      <c r="G113" s="261" t="str"/>
      <c r="H113" s="303" t="str"/>
      <c r="I113" s="261" t="str"/>
      <c r="J113" s="261" t="str"/>
      <c r="K113" s="285" t="str"/>
      <c r="L113" s="285" t="str"/>
      <c r="M113" s="285" t="str"/>
      <c r="N113" s="261" t="str"/>
      <c r="O113" s="261" t="str"/>
      <c r="P113" s="284">
        <f>IF(H113="已完成",1,IF(H113="待审核",0.8,IF(H113="进行中",0.5,IF(H113="已阻塞",0.25,0))))</f>
        <v/>
      </c>
      <c r="Q113" s="261" t="str"/>
    </row>
    <row r="114" ht="22" customHeight="1" s="48">
      <c r="A114" s="260" t="str"/>
      <c r="B114" s="260" t="str"/>
      <c r="C114" s="260" t="str"/>
      <c r="D114" s="260" t="str"/>
      <c r="E114" s="260" t="str"/>
      <c r="F114" s="260" t="str"/>
      <c r="G114" s="260" t="str"/>
      <c r="H114" s="302" t="str"/>
      <c r="I114" s="260" t="str"/>
      <c r="J114" s="260" t="str"/>
      <c r="K114" s="287" t="str"/>
      <c r="L114" s="287" t="str"/>
      <c r="M114" s="287" t="str"/>
      <c r="N114" s="260" t="str"/>
      <c r="O114" s="260" t="str"/>
      <c r="P114" s="286">
        <f>IF(H114="已完成",1,IF(H114="待审核",0.8,IF(H114="进行中",0.5,IF(H114="已阻塞",0.25,0))))</f>
        <v/>
      </c>
      <c r="Q114" s="260" t="str"/>
    </row>
    <row r="115" ht="22" customHeight="1" s="48">
      <c r="A115" s="261" t="str"/>
      <c r="B115" s="261" t="str"/>
      <c r="C115" s="261" t="str"/>
      <c r="D115" s="261" t="str"/>
      <c r="E115" s="261" t="str"/>
      <c r="F115" s="261" t="str"/>
      <c r="G115" s="261" t="str"/>
      <c r="H115" s="303" t="str"/>
      <c r="I115" s="261" t="str"/>
      <c r="J115" s="261" t="str"/>
      <c r="K115" s="285" t="str"/>
      <c r="L115" s="285" t="str"/>
      <c r="M115" s="285" t="str"/>
      <c r="N115" s="261" t="str"/>
      <c r="O115" s="261" t="str"/>
      <c r="P115" s="284">
        <f>IF(H115="已完成",1,IF(H115="待审核",0.8,IF(H115="进行中",0.5,IF(H115="已阻塞",0.25,0))))</f>
        <v/>
      </c>
      <c r="Q115" s="261" t="str"/>
    </row>
    <row r="116" ht="22" customHeight="1" s="48">
      <c r="A116" s="260" t="str"/>
      <c r="B116" s="260" t="str"/>
      <c r="C116" s="260" t="str"/>
      <c r="D116" s="260" t="str"/>
      <c r="E116" s="260" t="str"/>
      <c r="F116" s="260" t="str"/>
      <c r="G116" s="260" t="str"/>
      <c r="H116" s="302" t="str"/>
      <c r="I116" s="260" t="str"/>
      <c r="J116" s="260" t="str"/>
      <c r="K116" s="287" t="str"/>
      <c r="L116" s="287" t="str"/>
      <c r="M116" s="287" t="str"/>
      <c r="N116" s="260" t="str"/>
      <c r="O116" s="260" t="str"/>
      <c r="P116" s="286">
        <f>IF(H116="已完成",1,IF(H116="待审核",0.8,IF(H116="进行中",0.5,IF(H116="已阻塞",0.25,0))))</f>
        <v/>
      </c>
      <c r="Q116" s="260" t="str"/>
    </row>
    <row r="117" ht="22" customHeight="1" s="48">
      <c r="A117" s="261" t="str"/>
      <c r="B117" s="261" t="str"/>
      <c r="C117" s="261" t="str"/>
      <c r="D117" s="261" t="str"/>
      <c r="E117" s="261" t="str"/>
      <c r="F117" s="261" t="str"/>
      <c r="G117" s="261" t="str"/>
      <c r="H117" s="303" t="str"/>
      <c r="I117" s="261" t="str"/>
      <c r="J117" s="261" t="str"/>
      <c r="K117" s="285" t="str"/>
      <c r="L117" s="285" t="str"/>
      <c r="M117" s="285" t="str"/>
      <c r="N117" s="261" t="str"/>
      <c r="O117" s="261" t="str"/>
      <c r="P117" s="284">
        <f>IF(H117="已完成",1,IF(H117="待审核",0.8,IF(H117="进行中",0.5,IF(H117="已阻塞",0.25,0))))</f>
        <v/>
      </c>
      <c r="Q117" s="261" t="str"/>
    </row>
    <row r="118" ht="22" customHeight="1" s="48">
      <c r="A118" s="260" t="str"/>
      <c r="B118" s="260" t="str"/>
      <c r="C118" s="260" t="str"/>
      <c r="D118" s="260" t="str"/>
      <c r="E118" s="260" t="str"/>
      <c r="F118" s="260" t="str"/>
      <c r="G118" s="260" t="str"/>
      <c r="H118" s="302" t="str"/>
      <c r="I118" s="260" t="str"/>
      <c r="J118" s="260" t="str"/>
      <c r="K118" s="287" t="str"/>
      <c r="L118" s="287" t="str"/>
      <c r="M118" s="287" t="str"/>
      <c r="N118" s="260" t="str"/>
      <c r="O118" s="260" t="str"/>
      <c r="P118" s="286">
        <f>IF(H118="已完成",1,IF(H118="待审核",0.8,IF(H118="进行中",0.5,IF(H118="已阻塞",0.25,0))))</f>
        <v/>
      </c>
      <c r="Q118" s="260" t="str"/>
    </row>
    <row r="119" ht="22" customHeight="1" s="48">
      <c r="A119" s="261" t="str"/>
      <c r="B119" s="261" t="str"/>
      <c r="C119" s="261" t="str"/>
      <c r="D119" s="261" t="str"/>
      <c r="E119" s="261" t="str"/>
      <c r="F119" s="261" t="str"/>
      <c r="G119" s="261" t="str"/>
      <c r="H119" s="303" t="str"/>
      <c r="I119" s="261" t="str"/>
      <c r="J119" s="261" t="str"/>
      <c r="K119" s="285" t="str"/>
      <c r="L119" s="285" t="str"/>
      <c r="M119" s="285" t="str"/>
      <c r="N119" s="261" t="str"/>
      <c r="O119" s="261" t="str"/>
      <c r="P119" s="284">
        <f>IF(H119="已完成",1,IF(H119="待审核",0.8,IF(H119="进行中",0.5,IF(H119="已阻塞",0.25,0))))</f>
        <v/>
      </c>
      <c r="Q119" s="261" t="str"/>
    </row>
    <row r="120" ht="22" customHeight="1" s="48">
      <c r="A120" s="260" t="str"/>
      <c r="B120" s="260" t="str"/>
      <c r="C120" s="260" t="str"/>
      <c r="D120" s="260" t="str"/>
      <c r="E120" s="260" t="str"/>
      <c r="F120" s="260" t="str"/>
      <c r="G120" s="260" t="str"/>
      <c r="H120" s="302" t="str"/>
      <c r="I120" s="260" t="str"/>
      <c r="J120" s="260" t="str"/>
      <c r="K120" s="287" t="str"/>
      <c r="L120" s="287" t="str"/>
      <c r="M120" s="287" t="str"/>
      <c r="N120" s="260" t="str"/>
      <c r="O120" s="260" t="str"/>
      <c r="P120" s="286">
        <f>IF(H120="已完成",1,IF(H120="待审核",0.8,IF(H120="进行中",0.5,IF(H120="已阻塞",0.25,0))))</f>
        <v/>
      </c>
      <c r="Q120" s="260" t="str"/>
    </row>
    <row r="121" ht="22" customHeight="1" s="48">
      <c r="A121" s="261" t="str"/>
      <c r="B121" s="261" t="str"/>
      <c r="C121" s="261" t="str"/>
      <c r="D121" s="261" t="str"/>
      <c r="E121" s="261" t="str"/>
      <c r="F121" s="261" t="str"/>
      <c r="G121" s="261" t="str"/>
      <c r="H121" s="303" t="str"/>
      <c r="I121" s="261" t="str"/>
      <c r="J121" s="261" t="str"/>
      <c r="K121" s="285" t="str"/>
      <c r="L121" s="285" t="str"/>
      <c r="M121" s="285" t="str"/>
      <c r="N121" s="261" t="str"/>
      <c r="O121" s="261" t="str"/>
      <c r="P121" s="284">
        <f>IF(H121="已完成",1,IF(H121="待审核",0.8,IF(H121="进行中",0.5,IF(H121="已阻塞",0.25,0))))</f>
        <v/>
      </c>
      <c r="Q121" s="261" t="str"/>
    </row>
    <row r="122" ht="22" customHeight="1" s="48">
      <c r="A122" s="260" t="str"/>
      <c r="B122" s="260" t="str"/>
      <c r="C122" s="260" t="str"/>
      <c r="D122" s="260" t="str"/>
      <c r="E122" s="260" t="str"/>
      <c r="F122" s="260" t="str"/>
      <c r="G122" s="260" t="str"/>
      <c r="H122" s="302" t="str"/>
      <c r="I122" s="260" t="str"/>
      <c r="J122" s="260" t="str"/>
      <c r="K122" s="287" t="str"/>
      <c r="L122" s="287" t="str"/>
      <c r="M122" s="287" t="str"/>
      <c r="N122" s="260" t="str"/>
      <c r="O122" s="260" t="str"/>
      <c r="P122" s="286">
        <f>IF(H122="已完成",1,IF(H122="待审核",0.8,IF(H122="进行中",0.5,IF(H122="已阻塞",0.25,0))))</f>
        <v/>
      </c>
      <c r="Q122" s="260" t="str"/>
    </row>
    <row r="123" ht="22" customHeight="1" s="48">
      <c r="A123" s="261" t="str"/>
      <c r="B123" s="261" t="str"/>
      <c r="C123" s="261" t="str"/>
      <c r="D123" s="261" t="str"/>
      <c r="E123" s="261" t="str"/>
      <c r="F123" s="261" t="str"/>
      <c r="G123" s="261" t="str"/>
      <c r="H123" s="303" t="str"/>
      <c r="I123" s="261" t="str"/>
      <c r="J123" s="261" t="str"/>
      <c r="K123" s="285" t="str"/>
      <c r="L123" s="285" t="str"/>
      <c r="M123" s="285" t="str"/>
      <c r="N123" s="261" t="str"/>
      <c r="O123" s="261" t="str"/>
      <c r="P123" s="284">
        <f>IF(H123="已完成",1,IF(H123="待审核",0.8,IF(H123="进行中",0.5,IF(H123="已阻塞",0.25,0))))</f>
        <v/>
      </c>
      <c r="Q123" s="261" t="str"/>
    </row>
    <row r="124" ht="22" customHeight="1" s="48">
      <c r="A124" s="260" t="str"/>
      <c r="B124" s="260" t="str"/>
      <c r="C124" s="260" t="str"/>
      <c r="D124" s="260" t="str"/>
      <c r="E124" s="260" t="str"/>
      <c r="F124" s="260" t="str"/>
      <c r="G124" s="260" t="str"/>
      <c r="H124" s="302" t="str"/>
      <c r="I124" s="260" t="str"/>
      <c r="J124" s="260" t="str"/>
      <c r="K124" s="287" t="str"/>
      <c r="L124" s="287" t="str"/>
      <c r="M124" s="287" t="str"/>
      <c r="N124" s="260" t="str"/>
      <c r="O124" s="260" t="str"/>
      <c r="P124" s="286">
        <f>IF(H124="已完成",1,IF(H124="待审核",0.8,IF(H124="进行中",0.5,IF(H124="已阻塞",0.25,0))))</f>
        <v/>
      </c>
      <c r="Q124" s="260" t="str"/>
    </row>
    <row r="125" ht="22" customHeight="1" s="48">
      <c r="A125" s="261" t="str"/>
      <c r="B125" s="261" t="str"/>
      <c r="C125" s="261" t="str"/>
      <c r="D125" s="261" t="str"/>
      <c r="E125" s="261" t="str"/>
      <c r="F125" s="261" t="str"/>
      <c r="G125" s="261" t="str"/>
      <c r="H125" s="303" t="str"/>
      <c r="I125" s="261" t="str"/>
      <c r="J125" s="261" t="str"/>
      <c r="K125" s="285" t="str"/>
      <c r="L125" s="285" t="str"/>
      <c r="M125" s="285" t="str"/>
      <c r="N125" s="261" t="str"/>
      <c r="O125" s="261" t="str"/>
      <c r="P125" s="284">
        <f>IF(H125="已完成",1,IF(H125="待审核",0.8,IF(H125="进行中",0.5,IF(H125="已阻塞",0.25,0))))</f>
        <v/>
      </c>
      <c r="Q125" s="261" t="str"/>
    </row>
    <row r="126" ht="22" customHeight="1" s="48">
      <c r="A126" s="260" t="str"/>
      <c r="B126" s="260" t="str"/>
      <c r="C126" s="260" t="str"/>
      <c r="D126" s="260" t="str"/>
      <c r="E126" s="260" t="str"/>
      <c r="F126" s="260" t="str"/>
      <c r="G126" s="260" t="str"/>
      <c r="H126" s="302" t="str"/>
      <c r="I126" s="260" t="str"/>
      <c r="J126" s="260" t="str"/>
      <c r="K126" s="287" t="str"/>
      <c r="L126" s="287" t="str"/>
      <c r="M126" s="287" t="str"/>
      <c r="N126" s="260" t="str"/>
      <c r="O126" s="260" t="str"/>
      <c r="P126" s="286">
        <f>IF(H126="已完成",1,IF(H126="待审核",0.8,IF(H126="进行中",0.5,IF(H126="已阻塞",0.25,0))))</f>
        <v/>
      </c>
      <c r="Q126" s="260" t="str"/>
    </row>
    <row r="127" ht="22" customHeight="1" s="48">
      <c r="A127" s="261" t="str"/>
      <c r="B127" s="261" t="str"/>
      <c r="C127" s="261" t="str"/>
      <c r="D127" s="261" t="str"/>
      <c r="E127" s="261" t="str"/>
      <c r="F127" s="261" t="str"/>
      <c r="G127" s="261" t="str"/>
      <c r="H127" s="303" t="str"/>
      <c r="I127" s="261" t="str"/>
      <c r="J127" s="261" t="str"/>
      <c r="K127" s="285" t="str"/>
      <c r="L127" s="285" t="str"/>
      <c r="M127" s="285" t="str"/>
      <c r="N127" s="261" t="str"/>
      <c r="O127" s="261" t="str"/>
      <c r="P127" s="284">
        <f>IF(H127="已完成",1,IF(H127="待审核",0.8,IF(H127="进行中",0.5,IF(H127="已阻塞",0.25,0))))</f>
        <v/>
      </c>
      <c r="Q127" s="261" t="str"/>
    </row>
    <row r="128" ht="22" customHeight="1" s="48">
      <c r="A128" s="260" t="str"/>
      <c r="B128" s="260" t="str"/>
      <c r="C128" s="260" t="str"/>
      <c r="D128" s="260" t="str"/>
      <c r="E128" s="260" t="str"/>
      <c r="F128" s="260" t="str"/>
      <c r="G128" s="260" t="str"/>
      <c r="H128" s="302" t="str"/>
      <c r="I128" s="260" t="str"/>
      <c r="J128" s="260" t="str"/>
      <c r="K128" s="287" t="str"/>
      <c r="L128" s="287" t="str"/>
      <c r="M128" s="287" t="str"/>
      <c r="N128" s="260" t="str"/>
      <c r="O128" s="260" t="str"/>
      <c r="P128" s="286">
        <f>IF(H128="已完成",1,IF(H128="待审核",0.8,IF(H128="进行中",0.5,IF(H128="已阻塞",0.25,0))))</f>
        <v/>
      </c>
      <c r="Q128" s="260" t="str"/>
    </row>
    <row r="129" ht="22" customHeight="1" s="48">
      <c r="A129" s="261" t="str"/>
      <c r="B129" s="261" t="str"/>
      <c r="C129" s="261" t="str"/>
      <c r="D129" s="261" t="str"/>
      <c r="E129" s="261" t="str"/>
      <c r="F129" s="261" t="str"/>
      <c r="G129" s="261" t="str"/>
      <c r="H129" s="303" t="str"/>
      <c r="I129" s="261" t="str"/>
      <c r="J129" s="261" t="str"/>
      <c r="K129" s="285" t="str"/>
      <c r="L129" s="285" t="str"/>
      <c r="M129" s="285" t="str"/>
      <c r="N129" s="261" t="str"/>
      <c r="O129" s="261" t="str"/>
      <c r="P129" s="284">
        <f>IF(H129="已完成",1,IF(H129="待审核",0.8,IF(H129="进行中",0.5,IF(H129="已阻塞",0.25,0))))</f>
        <v/>
      </c>
      <c r="Q129" s="261" t="str"/>
    </row>
    <row r="130" ht="22" customHeight="1" s="48">
      <c r="A130" s="260" t="str"/>
      <c r="B130" s="260" t="str"/>
      <c r="C130" s="260" t="str"/>
      <c r="D130" s="260" t="str"/>
      <c r="E130" s="260" t="str"/>
      <c r="F130" s="260" t="str"/>
      <c r="G130" s="260" t="str"/>
      <c r="H130" s="302" t="str"/>
      <c r="I130" s="260" t="str"/>
      <c r="J130" s="260" t="str"/>
      <c r="K130" s="287" t="str"/>
      <c r="L130" s="287" t="str"/>
      <c r="M130" s="287" t="str"/>
      <c r="N130" s="260" t="str"/>
      <c r="O130" s="260" t="str"/>
      <c r="P130" s="286">
        <f>IF(H130="已完成",1,IF(H130="待审核",0.8,IF(H130="进行中",0.5,IF(H130="已阻塞",0.25,0))))</f>
        <v/>
      </c>
      <c r="Q130" s="260" t="str"/>
    </row>
    <row r="131" ht="22" customHeight="1" s="48">
      <c r="A131" s="261" t="str"/>
      <c r="B131" s="261" t="str"/>
      <c r="C131" s="261" t="str"/>
      <c r="D131" s="261" t="str"/>
      <c r="E131" s="261" t="str"/>
      <c r="F131" s="261" t="str"/>
      <c r="G131" s="261" t="str"/>
      <c r="H131" s="303" t="str"/>
      <c r="I131" s="261" t="str"/>
      <c r="J131" s="261" t="str"/>
      <c r="K131" s="285" t="str"/>
      <c r="L131" s="285" t="str"/>
      <c r="M131" s="285" t="str"/>
      <c r="N131" s="261" t="str"/>
      <c r="O131" s="261" t="str"/>
      <c r="P131" s="284">
        <f>IF(H131="已完成",1,IF(H131="待审核",0.8,IF(H131="进行中",0.5,IF(H131="已阻塞",0.25,0))))</f>
        <v/>
      </c>
      <c r="Q131" s="261" t="str"/>
    </row>
    <row r="132" ht="22" customHeight="1" s="48">
      <c r="A132" s="260" t="str"/>
      <c r="B132" s="260" t="str"/>
      <c r="C132" s="260" t="str"/>
      <c r="D132" s="260" t="str"/>
      <c r="E132" s="260" t="str"/>
      <c r="F132" s="260" t="str"/>
      <c r="G132" s="260" t="str"/>
      <c r="H132" s="302" t="str"/>
      <c r="I132" s="260" t="str"/>
      <c r="J132" s="260" t="str"/>
      <c r="K132" s="287" t="str"/>
      <c r="L132" s="287" t="str"/>
      <c r="M132" s="287" t="str"/>
      <c r="N132" s="260" t="str"/>
      <c r="O132" s="260" t="str"/>
      <c r="P132" s="286">
        <f>IF(H132="已完成",1,IF(H132="待审核",0.8,IF(H132="进行中",0.5,IF(H132="已阻塞",0.25,0))))</f>
        <v/>
      </c>
      <c r="Q132" s="260" t="str"/>
    </row>
    <row r="133" ht="22" customHeight="1" s="48">
      <c r="A133" s="261" t="str"/>
      <c r="B133" s="261" t="str"/>
      <c r="C133" s="261" t="str"/>
      <c r="D133" s="261" t="str"/>
      <c r="E133" s="261" t="str"/>
      <c r="F133" s="261" t="str"/>
      <c r="G133" s="261" t="str"/>
      <c r="H133" s="303" t="str"/>
      <c r="I133" s="261" t="str"/>
      <c r="J133" s="261" t="str"/>
      <c r="K133" s="285" t="str"/>
      <c r="L133" s="285" t="str"/>
      <c r="M133" s="285" t="str"/>
      <c r="N133" s="261" t="str"/>
      <c r="O133" s="261" t="str"/>
      <c r="P133" s="284">
        <f>IF(H133="已完成",1,IF(H133="待审核",0.8,IF(H133="进行中",0.5,IF(H133="已阻塞",0.25,0))))</f>
        <v/>
      </c>
      <c r="Q133" s="261" t="str"/>
    </row>
    <row r="134" ht="22" customHeight="1" s="48">
      <c r="A134" s="260" t="str"/>
      <c r="B134" s="260" t="str"/>
      <c r="C134" s="260" t="str"/>
      <c r="D134" s="260" t="str"/>
      <c r="E134" s="260" t="str"/>
      <c r="F134" s="260" t="str"/>
      <c r="G134" s="260" t="str"/>
      <c r="H134" s="302" t="str"/>
      <c r="I134" s="260" t="str"/>
      <c r="J134" s="260" t="str"/>
      <c r="K134" s="287" t="str"/>
      <c r="L134" s="287" t="str"/>
      <c r="M134" s="287" t="str"/>
      <c r="N134" s="260" t="str"/>
      <c r="O134" s="260" t="str"/>
      <c r="P134" s="286">
        <f>IF(H134="已完成",1,IF(H134="待审核",0.8,IF(H134="进行中",0.5,IF(H134="已阻塞",0.25,0))))</f>
        <v/>
      </c>
      <c r="Q134" s="260" t="str"/>
    </row>
    <row r="135" ht="22" customHeight="1" s="48">
      <c r="A135" s="261" t="str"/>
      <c r="B135" s="261" t="str"/>
      <c r="C135" s="261" t="str"/>
      <c r="D135" s="261" t="str"/>
      <c r="E135" s="261" t="str"/>
      <c r="F135" s="261" t="str"/>
      <c r="G135" s="261" t="str"/>
      <c r="H135" s="303" t="str"/>
      <c r="I135" s="261" t="str"/>
      <c r="J135" s="261" t="str"/>
      <c r="K135" s="285" t="str"/>
      <c r="L135" s="285" t="str"/>
      <c r="M135" s="285" t="str"/>
      <c r="N135" s="261" t="str"/>
      <c r="O135" s="261" t="str"/>
      <c r="P135" s="284">
        <f>IF(H135="已完成",1,IF(H135="待审核",0.8,IF(H135="进行中",0.5,IF(H135="已阻塞",0.25,0))))</f>
        <v/>
      </c>
      <c r="Q135" s="261" t="str"/>
    </row>
    <row r="136" ht="22" customHeight="1" s="48">
      <c r="A136" s="260" t="str"/>
      <c r="B136" s="260" t="str"/>
      <c r="C136" s="260" t="str"/>
      <c r="D136" s="260" t="str"/>
      <c r="E136" s="260" t="str"/>
      <c r="F136" s="260" t="str"/>
      <c r="G136" s="260" t="str"/>
      <c r="H136" s="302" t="str"/>
      <c r="I136" s="260" t="str"/>
      <c r="J136" s="260" t="str"/>
      <c r="K136" s="287" t="str"/>
      <c r="L136" s="287" t="str"/>
      <c r="M136" s="287" t="str"/>
      <c r="N136" s="260" t="str"/>
      <c r="O136" s="260" t="str"/>
      <c r="P136" s="286">
        <f>IF(H136="已完成",1,IF(H136="待审核",0.8,IF(H136="进行中",0.5,IF(H136="已阻塞",0.25,0))))</f>
        <v/>
      </c>
      <c r="Q136" s="260" t="str"/>
    </row>
    <row r="137" ht="22" customHeight="1" s="48">
      <c r="A137" s="261" t="str"/>
      <c r="B137" s="261" t="str"/>
      <c r="C137" s="261" t="str"/>
      <c r="D137" s="261" t="str"/>
      <c r="E137" s="261" t="str"/>
      <c r="F137" s="261" t="str"/>
      <c r="G137" s="261" t="str"/>
      <c r="H137" s="303" t="str"/>
      <c r="I137" s="261" t="str"/>
      <c r="J137" s="261" t="str"/>
      <c r="K137" s="285" t="str"/>
      <c r="L137" s="285" t="str"/>
      <c r="M137" s="285" t="str"/>
      <c r="N137" s="261" t="str"/>
      <c r="O137" s="261" t="str"/>
      <c r="P137" s="284">
        <f>IF(H137="已完成",1,IF(H137="待审核",0.8,IF(H137="进行中",0.5,IF(H137="已阻塞",0.25,0))))</f>
        <v/>
      </c>
      <c r="Q137" s="261" t="str"/>
    </row>
    <row r="138" ht="22" customHeight="1" s="48">
      <c r="A138" s="260" t="str"/>
      <c r="B138" s="260" t="str"/>
      <c r="C138" s="260" t="str"/>
      <c r="D138" s="260" t="str"/>
      <c r="E138" s="260" t="str"/>
      <c r="F138" s="260" t="str"/>
      <c r="G138" s="260" t="str"/>
      <c r="H138" s="302" t="str"/>
      <c r="I138" s="260" t="str"/>
      <c r="J138" s="260" t="str"/>
      <c r="K138" s="287" t="str"/>
      <c r="L138" s="287" t="str"/>
      <c r="M138" s="287" t="str"/>
      <c r="N138" s="260" t="str"/>
      <c r="O138" s="260" t="str"/>
      <c r="P138" s="286">
        <f>IF(H138="已完成",1,IF(H138="待审核",0.8,IF(H138="进行中",0.5,IF(H138="已阻塞",0.25,0))))</f>
        <v/>
      </c>
      <c r="Q138" s="260" t="str"/>
    </row>
    <row r="139" ht="22" customHeight="1" s="48">
      <c r="A139" s="261" t="str"/>
      <c r="B139" s="261" t="str"/>
      <c r="C139" s="261" t="str"/>
      <c r="D139" s="261" t="str"/>
      <c r="E139" s="261" t="str"/>
      <c r="F139" s="261" t="str"/>
      <c r="G139" s="261" t="str"/>
      <c r="H139" s="303" t="str"/>
      <c r="I139" s="261" t="str"/>
      <c r="J139" s="261" t="str"/>
      <c r="K139" s="285" t="str"/>
      <c r="L139" s="285" t="str"/>
      <c r="M139" s="285" t="str"/>
      <c r="N139" s="261" t="str"/>
      <c r="O139" s="261" t="str"/>
      <c r="P139" s="284">
        <f>IF(H139="已完成",1,IF(H139="待审核",0.8,IF(H139="进行中",0.5,IF(H139="已阻塞",0.25,0))))</f>
        <v/>
      </c>
      <c r="Q139" s="261" t="str"/>
    </row>
    <row r="140" ht="22" customHeight="1" s="48">
      <c r="A140" s="260" t="str"/>
      <c r="B140" s="260" t="str"/>
      <c r="C140" s="260" t="str"/>
      <c r="D140" s="260" t="str"/>
      <c r="E140" s="260" t="str"/>
      <c r="F140" s="260" t="str"/>
      <c r="G140" s="260" t="str"/>
      <c r="H140" s="302" t="str"/>
      <c r="I140" s="260" t="str"/>
      <c r="J140" s="260" t="str"/>
      <c r="K140" s="287" t="str"/>
      <c r="L140" s="287" t="str"/>
      <c r="M140" s="287" t="str"/>
      <c r="N140" s="260" t="str"/>
      <c r="O140" s="260" t="str"/>
      <c r="P140" s="286">
        <f>IF(H140="已完成",1,IF(H140="待审核",0.8,IF(H140="进行中",0.5,IF(H140="已阻塞",0.25,0))))</f>
        <v/>
      </c>
      <c r="Q140" s="260" t="str"/>
    </row>
    <row r="141" ht="22" customHeight="1" s="48">
      <c r="A141" s="261" t="str"/>
      <c r="B141" s="261" t="str"/>
      <c r="C141" s="261" t="str"/>
      <c r="D141" s="261" t="str"/>
      <c r="E141" s="261" t="str"/>
      <c r="F141" s="261" t="str"/>
      <c r="G141" s="261" t="str"/>
      <c r="H141" s="303" t="str"/>
      <c r="I141" s="261" t="str"/>
      <c r="J141" s="261" t="str"/>
      <c r="K141" s="285" t="str"/>
      <c r="L141" s="285" t="str"/>
      <c r="M141" s="285" t="str"/>
      <c r="N141" s="261" t="str"/>
      <c r="O141" s="261" t="str"/>
      <c r="P141" s="284">
        <f>IF(H141="已完成",1,IF(H141="待审核",0.8,IF(H141="进行中",0.5,IF(H141="已阻塞",0.25,0))))</f>
        <v/>
      </c>
      <c r="Q141" s="261" t="str"/>
    </row>
    <row r="142" ht="22" customHeight="1" s="48">
      <c r="A142" s="260" t="str"/>
      <c r="B142" s="260" t="str"/>
      <c r="C142" s="260" t="str"/>
      <c r="D142" s="260" t="str"/>
      <c r="E142" s="260" t="str"/>
      <c r="F142" s="260" t="str"/>
      <c r="G142" s="260" t="str"/>
      <c r="H142" s="302" t="str"/>
      <c r="I142" s="260" t="str"/>
      <c r="J142" s="260" t="str"/>
      <c r="K142" s="287" t="str"/>
      <c r="L142" s="287" t="str"/>
      <c r="M142" s="287" t="str"/>
      <c r="N142" s="260" t="str"/>
      <c r="O142" s="260" t="str"/>
      <c r="P142" s="286">
        <f>IF(H142="已完成",1,IF(H142="待审核",0.8,IF(H142="进行中",0.5,IF(H142="已阻塞",0.25,0))))</f>
        <v/>
      </c>
      <c r="Q142" s="260" t="str"/>
    </row>
    <row r="143" ht="22" customHeight="1" s="48">
      <c r="A143" s="261" t="str"/>
      <c r="B143" s="261" t="str"/>
      <c r="C143" s="261" t="str"/>
      <c r="D143" s="261" t="str"/>
      <c r="E143" s="261" t="str"/>
      <c r="F143" s="261" t="str"/>
      <c r="G143" s="261" t="str"/>
      <c r="H143" s="303" t="str"/>
      <c r="I143" s="261" t="str"/>
      <c r="J143" s="261" t="str"/>
      <c r="K143" s="285" t="str"/>
      <c r="L143" s="285" t="str"/>
      <c r="M143" s="285" t="str"/>
      <c r="N143" s="261" t="str"/>
      <c r="O143" s="261" t="str"/>
      <c r="P143" s="284">
        <f>IF(H143="已完成",1,IF(H143="待审核",0.8,IF(H143="进行中",0.5,IF(H143="已阻塞",0.25,0))))</f>
        <v/>
      </c>
      <c r="Q143" s="261" t="str"/>
    </row>
    <row r="144" ht="22" customHeight="1" s="48">
      <c r="A144" s="260" t="str"/>
      <c r="B144" s="260" t="str"/>
      <c r="C144" s="260" t="str"/>
      <c r="D144" s="260" t="str"/>
      <c r="E144" s="260" t="str"/>
      <c r="F144" s="260" t="str"/>
      <c r="G144" s="260" t="str"/>
      <c r="H144" s="302" t="str"/>
      <c r="I144" s="260" t="str"/>
      <c r="J144" s="260" t="str"/>
      <c r="K144" s="287" t="str"/>
      <c r="L144" s="287" t="str"/>
      <c r="M144" s="287" t="str"/>
      <c r="N144" s="260" t="str"/>
      <c r="O144" s="260" t="str"/>
      <c r="P144" s="286">
        <f>IF(H144="已完成",1,IF(H144="待审核",0.8,IF(H144="进行中",0.5,IF(H144="已阻塞",0.25,0))))</f>
        <v/>
      </c>
      <c r="Q144" s="260" t="str"/>
    </row>
    <row r="145" ht="22" customHeight="1" s="48">
      <c r="A145" s="261" t="str"/>
      <c r="B145" s="261" t="str"/>
      <c r="C145" s="261" t="str"/>
      <c r="D145" s="261" t="str"/>
      <c r="E145" s="261" t="str"/>
      <c r="F145" s="261" t="str"/>
      <c r="G145" s="261" t="str"/>
      <c r="H145" s="303" t="str"/>
      <c r="I145" s="261" t="str"/>
      <c r="J145" s="261" t="str"/>
      <c r="K145" s="285" t="str"/>
      <c r="L145" s="285" t="str"/>
      <c r="M145" s="285" t="str"/>
      <c r="N145" s="261" t="str"/>
      <c r="O145" s="261" t="str"/>
      <c r="P145" s="284">
        <f>IF(H145="已完成",1,IF(H145="待审核",0.8,IF(H145="进行中",0.5,IF(H145="已阻塞",0.25,0))))</f>
        <v/>
      </c>
      <c r="Q145" s="261" t="str"/>
    </row>
    <row r="146" ht="22" customHeight="1" s="48">
      <c r="A146" s="260" t="str"/>
      <c r="B146" s="260" t="str"/>
      <c r="C146" s="260" t="str"/>
      <c r="D146" s="260" t="str"/>
      <c r="E146" s="260" t="str"/>
      <c r="F146" s="260" t="str"/>
      <c r="G146" s="260" t="str"/>
      <c r="H146" s="302" t="str"/>
      <c r="I146" s="260" t="str"/>
      <c r="J146" s="260" t="str"/>
      <c r="K146" s="287" t="str"/>
      <c r="L146" s="287" t="str"/>
      <c r="M146" s="287" t="str"/>
      <c r="N146" s="260" t="str"/>
      <c r="O146" s="260" t="str"/>
      <c r="P146" s="286">
        <f>IF(H146="已完成",1,IF(H146="待审核",0.8,IF(H146="进行中",0.5,IF(H146="已阻塞",0.25,0))))</f>
        <v/>
      </c>
      <c r="Q146" s="260" t="str"/>
    </row>
    <row r="147" ht="22" customHeight="1" s="48">
      <c r="A147" s="261" t="str"/>
      <c r="B147" s="261" t="str"/>
      <c r="C147" s="261" t="str"/>
      <c r="D147" s="261" t="str"/>
      <c r="E147" s="261" t="str"/>
      <c r="F147" s="261" t="str"/>
      <c r="G147" s="261" t="str"/>
      <c r="H147" s="303" t="str"/>
      <c r="I147" s="261" t="str"/>
      <c r="J147" s="261" t="str"/>
      <c r="K147" s="285" t="str"/>
      <c r="L147" s="285" t="str"/>
      <c r="M147" s="285" t="str"/>
      <c r="N147" s="261" t="str"/>
      <c r="O147" s="261" t="str"/>
      <c r="P147" s="284">
        <f>IF(H147="已完成",1,IF(H147="待审核",0.8,IF(H147="进行中",0.5,IF(H147="已阻塞",0.25,0))))</f>
        <v/>
      </c>
      <c r="Q147" s="261" t="str"/>
    </row>
    <row r="148" ht="22" customHeight="1" s="48">
      <c r="A148" s="260" t="str"/>
      <c r="B148" s="260" t="str"/>
      <c r="C148" s="260" t="str"/>
      <c r="D148" s="260" t="str"/>
      <c r="E148" s="260" t="str"/>
      <c r="F148" s="260" t="str"/>
      <c r="G148" s="260" t="str"/>
      <c r="H148" s="302" t="str"/>
      <c r="I148" s="260" t="str"/>
      <c r="J148" s="260" t="str"/>
      <c r="K148" s="287" t="str"/>
      <c r="L148" s="287" t="str"/>
      <c r="M148" s="287" t="str"/>
      <c r="N148" s="260" t="str"/>
      <c r="O148" s="260" t="str"/>
      <c r="P148" s="286">
        <f>IF(H148="已完成",1,IF(H148="待审核",0.8,IF(H148="进行中",0.5,IF(H148="已阻塞",0.25,0))))</f>
        <v/>
      </c>
      <c r="Q148" s="260" t="str"/>
    </row>
    <row r="149" ht="22" customHeight="1" s="48">
      <c r="A149" s="261" t="str"/>
      <c r="B149" s="261" t="str"/>
      <c r="C149" s="261" t="str"/>
      <c r="D149" s="261" t="str"/>
      <c r="E149" s="261" t="str"/>
      <c r="F149" s="261" t="str"/>
      <c r="G149" s="261" t="str"/>
      <c r="H149" s="303" t="str"/>
      <c r="I149" s="261" t="str"/>
      <c r="J149" s="261" t="str"/>
      <c r="K149" s="285" t="str"/>
      <c r="L149" s="285" t="str"/>
      <c r="M149" s="285" t="str"/>
      <c r="N149" s="261" t="str"/>
      <c r="O149" s="261" t="str"/>
      <c r="P149" s="284">
        <f>IF(H149="已完成",1,IF(H149="待审核",0.8,IF(H149="进行中",0.5,IF(H149="已阻塞",0.25,0))))</f>
        <v/>
      </c>
      <c r="Q149" s="261" t="str"/>
    </row>
    <row r="150" ht="22" customHeight="1" s="48">
      <c r="A150" s="260" t="str"/>
      <c r="B150" s="260" t="str"/>
      <c r="C150" s="260" t="str"/>
      <c r="D150" s="260" t="str"/>
      <c r="E150" s="260" t="str"/>
      <c r="F150" s="260" t="str"/>
      <c r="G150" s="260" t="str"/>
      <c r="H150" s="302" t="str"/>
      <c r="I150" s="260" t="str"/>
      <c r="J150" s="260" t="str"/>
      <c r="K150" s="287" t="str"/>
      <c r="L150" s="287" t="str"/>
      <c r="M150" s="287" t="str"/>
      <c r="N150" s="260" t="str"/>
      <c r="O150" s="260" t="str"/>
      <c r="P150" s="286">
        <f>IF(H150="已完成",1,IF(H150="待审核",0.8,IF(H150="进行中",0.5,IF(H150="已阻塞",0.25,0))))</f>
        <v/>
      </c>
      <c r="Q150" s="260" t="str"/>
    </row>
    <row r="151" ht="22" customHeight="1" s="48">
      <c r="A151" s="261" t="str"/>
      <c r="B151" s="261" t="str"/>
      <c r="C151" s="261" t="str"/>
      <c r="D151" s="261" t="str"/>
      <c r="E151" s="261" t="str"/>
      <c r="F151" s="261" t="str"/>
      <c r="G151" s="261" t="str"/>
      <c r="H151" s="303" t="str"/>
      <c r="I151" s="261" t="str"/>
      <c r="J151" s="261" t="str"/>
      <c r="K151" s="285" t="str"/>
      <c r="L151" s="285" t="str"/>
      <c r="M151" s="285" t="str"/>
      <c r="N151" s="261" t="str"/>
      <c r="O151" s="261" t="str"/>
      <c r="P151" s="284">
        <f>IF(H151="已完成",1,IF(H151="待审核",0.8,IF(H151="进行中",0.5,IF(H151="已阻塞",0.25,0))))</f>
        <v/>
      </c>
      <c r="Q151" s="261" t="str"/>
    </row>
    <row r="152" ht="22" customHeight="1" s="48">
      <c r="A152" s="260" t="str"/>
      <c r="B152" s="260" t="str"/>
      <c r="C152" s="260" t="str"/>
      <c r="D152" s="260" t="str"/>
      <c r="E152" s="260" t="str"/>
      <c r="F152" s="260" t="str"/>
      <c r="G152" s="260" t="str"/>
      <c r="H152" s="302" t="str"/>
      <c r="I152" s="260" t="str"/>
      <c r="J152" s="260" t="str"/>
      <c r="K152" s="287" t="str"/>
      <c r="L152" s="287" t="str"/>
      <c r="M152" s="287" t="str"/>
      <c r="N152" s="260" t="str"/>
      <c r="O152" s="260" t="str"/>
      <c r="P152" s="286">
        <f>IF(H152="已完成",1,IF(H152="待审核",0.8,IF(H152="进行中",0.5,IF(H152="已阻塞",0.25,0))))</f>
        <v/>
      </c>
      <c r="Q152" s="260" t="str"/>
    </row>
    <row r="153" ht="22" customHeight="1" s="48">
      <c r="A153" s="261" t="str"/>
      <c r="B153" s="261" t="str"/>
      <c r="C153" s="261" t="str"/>
      <c r="D153" s="261" t="str"/>
      <c r="E153" s="261" t="str"/>
      <c r="F153" s="261" t="str"/>
      <c r="G153" s="261" t="str"/>
      <c r="H153" s="303" t="str"/>
      <c r="I153" s="261" t="str"/>
      <c r="J153" s="261" t="str"/>
      <c r="K153" s="285" t="str"/>
      <c r="L153" s="285" t="str"/>
      <c r="M153" s="285" t="str"/>
      <c r="N153" s="261" t="str"/>
      <c r="O153" s="261" t="str"/>
      <c r="P153" s="284">
        <f>IF(H153="已完成",1,IF(H153="待审核",0.8,IF(H153="进行中",0.5,IF(H153="已阻塞",0.25,0))))</f>
        <v/>
      </c>
      <c r="Q153" s="261" t="str"/>
    </row>
    <row r="154" ht="22" customHeight="1" s="48">
      <c r="A154" s="260" t="str"/>
      <c r="B154" s="260" t="str"/>
      <c r="C154" s="260" t="str"/>
      <c r="D154" s="260" t="str"/>
      <c r="E154" s="260" t="str"/>
      <c r="F154" s="260" t="str"/>
      <c r="G154" s="260" t="str"/>
      <c r="H154" s="302" t="str"/>
      <c r="I154" s="260" t="str"/>
      <c r="J154" s="260" t="str"/>
      <c r="K154" s="287" t="str"/>
      <c r="L154" s="287" t="str"/>
      <c r="M154" s="287" t="str"/>
      <c r="N154" s="260" t="str"/>
      <c r="O154" s="260" t="str"/>
      <c r="P154" s="286">
        <f>IF(H154="已完成",1,IF(H154="待审核",0.8,IF(H154="进行中",0.5,IF(H154="已阻塞",0.25,0))))</f>
        <v/>
      </c>
      <c r="Q154" s="260" t="str"/>
    </row>
    <row r="155" ht="22" customHeight="1" s="48">
      <c r="A155" s="261" t="str"/>
      <c r="B155" s="261" t="str"/>
      <c r="C155" s="261" t="str"/>
      <c r="D155" s="261" t="str"/>
      <c r="E155" s="261" t="str"/>
      <c r="F155" s="261" t="str"/>
      <c r="G155" s="261" t="str"/>
      <c r="H155" s="303" t="str"/>
      <c r="I155" s="261" t="str"/>
      <c r="J155" s="261" t="str"/>
      <c r="K155" s="285" t="str"/>
      <c r="L155" s="285" t="str"/>
      <c r="M155" s="285" t="str"/>
      <c r="N155" s="261" t="str"/>
      <c r="O155" s="261" t="str"/>
      <c r="P155" s="284">
        <f>IF(H155="已完成",1,IF(H155="待审核",0.8,IF(H155="进行中",0.5,IF(H155="已阻塞",0.25,0))))</f>
        <v/>
      </c>
      <c r="Q155" s="261" t="str"/>
    </row>
    <row r="156" ht="22" customHeight="1" s="48">
      <c r="A156" s="260" t="str"/>
      <c r="B156" s="260" t="str"/>
      <c r="C156" s="260" t="str"/>
      <c r="D156" s="260" t="str"/>
      <c r="E156" s="260" t="str"/>
      <c r="F156" s="260" t="str"/>
      <c r="G156" s="260" t="str"/>
      <c r="H156" s="302" t="str"/>
      <c r="I156" s="260" t="str"/>
      <c r="J156" s="260" t="str"/>
      <c r="K156" s="287" t="str"/>
      <c r="L156" s="287" t="str"/>
      <c r="M156" s="287" t="str"/>
      <c r="N156" s="260" t="str"/>
      <c r="O156" s="260" t="str"/>
      <c r="P156" s="286">
        <f>IF(H156="已完成",1,IF(H156="待审核",0.8,IF(H156="进行中",0.5,IF(H156="已阻塞",0.25,0))))</f>
        <v/>
      </c>
      <c r="Q156" s="260" t="str"/>
    </row>
    <row r="157" ht="22" customHeight="1" s="48">
      <c r="A157" s="261" t="str"/>
      <c r="B157" s="261" t="str"/>
      <c r="C157" s="261" t="str"/>
      <c r="D157" s="261" t="str"/>
      <c r="E157" s="261" t="str"/>
      <c r="F157" s="261" t="str"/>
      <c r="G157" s="261" t="str"/>
      <c r="H157" s="303" t="str"/>
      <c r="I157" s="261" t="str"/>
      <c r="J157" s="261" t="str"/>
      <c r="K157" s="285" t="str"/>
      <c r="L157" s="285" t="str"/>
      <c r="M157" s="285" t="str"/>
      <c r="N157" s="261" t="str"/>
      <c r="O157" s="261" t="str"/>
      <c r="P157" s="284">
        <f>IF(H157="已完成",1,IF(H157="待审核",0.8,IF(H157="进行中",0.5,IF(H157="已阻塞",0.25,0))))</f>
        <v/>
      </c>
      <c r="Q157" s="261" t="str"/>
    </row>
    <row r="158" ht="22" customHeight="1" s="48">
      <c r="A158" s="260" t="str"/>
      <c r="B158" s="260" t="str"/>
      <c r="C158" s="260" t="str"/>
      <c r="D158" s="260" t="str"/>
      <c r="E158" s="260" t="str"/>
      <c r="F158" s="260" t="str"/>
      <c r="G158" s="260" t="str"/>
      <c r="H158" s="302" t="str"/>
      <c r="I158" s="260" t="str"/>
      <c r="J158" s="260" t="str"/>
      <c r="K158" s="287" t="str"/>
      <c r="L158" s="287" t="str"/>
      <c r="M158" s="287" t="str"/>
      <c r="N158" s="260" t="str"/>
      <c r="O158" s="260" t="str"/>
      <c r="P158" s="286">
        <f>IF(H158="已完成",1,IF(H158="待审核",0.8,IF(H158="进行中",0.5,IF(H158="已阻塞",0.25,0))))</f>
        <v/>
      </c>
      <c r="Q158" s="260" t="str"/>
    </row>
    <row r="159" ht="22" customHeight="1" s="48">
      <c r="A159" s="261" t="str"/>
      <c r="B159" s="261" t="str"/>
      <c r="C159" s="261" t="str"/>
      <c r="D159" s="261" t="str"/>
      <c r="E159" s="261" t="str"/>
      <c r="F159" s="261" t="str"/>
      <c r="G159" s="261" t="str"/>
      <c r="H159" s="303" t="str"/>
      <c r="I159" s="261" t="str"/>
      <c r="J159" s="261" t="str"/>
      <c r="K159" s="285" t="str"/>
      <c r="L159" s="285" t="str"/>
      <c r="M159" s="285" t="str"/>
      <c r="N159" s="261" t="str"/>
      <c r="O159" s="261" t="str"/>
      <c r="P159" s="284">
        <f>IF(H159="已完成",1,IF(H159="待审核",0.8,IF(H159="进行中",0.5,IF(H159="已阻塞",0.25,0))))</f>
        <v/>
      </c>
      <c r="Q159" s="261" t="str"/>
    </row>
    <row r="160" ht="22" customHeight="1" s="48">
      <c r="A160" s="260" t="str"/>
      <c r="B160" s="260" t="str"/>
      <c r="C160" s="260" t="str"/>
      <c r="D160" s="260" t="str"/>
      <c r="E160" s="260" t="str"/>
      <c r="F160" s="260" t="str"/>
      <c r="G160" s="260" t="str"/>
      <c r="H160" s="302" t="str"/>
      <c r="I160" s="260" t="str"/>
      <c r="J160" s="260" t="str"/>
      <c r="K160" s="287" t="str"/>
      <c r="L160" s="287" t="str"/>
      <c r="M160" s="287" t="str"/>
      <c r="N160" s="260" t="str"/>
      <c r="O160" s="260" t="str"/>
      <c r="P160" s="286">
        <f>IF(H160="已完成",1,IF(H160="待审核",0.8,IF(H160="进行中",0.5,IF(H160="已阻塞",0.25,0))))</f>
        <v/>
      </c>
      <c r="Q160" s="260" t="str"/>
    </row>
    <row r="161" ht="22" customHeight="1" s="48">
      <c r="A161" s="261" t="str"/>
      <c r="B161" s="261" t="str"/>
      <c r="C161" s="261" t="str"/>
      <c r="D161" s="261" t="str"/>
      <c r="E161" s="261" t="str"/>
      <c r="F161" s="261" t="str"/>
      <c r="G161" s="261" t="str"/>
      <c r="H161" s="303" t="str"/>
      <c r="I161" s="261" t="str"/>
      <c r="J161" s="261" t="str"/>
      <c r="K161" s="285" t="str"/>
      <c r="L161" s="285" t="str"/>
      <c r="M161" s="285" t="str"/>
      <c r="N161" s="261" t="str"/>
      <c r="O161" s="261" t="str"/>
      <c r="P161" s="284">
        <f>IF(H161="已完成",1,IF(H161="待审核",0.8,IF(H161="进行中",0.5,IF(H161="已阻塞",0.25,0))))</f>
        <v/>
      </c>
      <c r="Q161" s="261" t="str"/>
    </row>
    <row r="162" ht="22" customHeight="1" s="48">
      <c r="A162" s="260" t="str"/>
      <c r="B162" s="260" t="str"/>
      <c r="C162" s="260" t="str"/>
      <c r="D162" s="260" t="str"/>
      <c r="E162" s="260" t="str"/>
      <c r="F162" s="260" t="str"/>
      <c r="G162" s="260" t="str"/>
      <c r="H162" s="302" t="str"/>
      <c r="I162" s="260" t="str"/>
      <c r="J162" s="260" t="str"/>
      <c r="K162" s="287" t="str"/>
      <c r="L162" s="287" t="str"/>
      <c r="M162" s="287" t="str"/>
      <c r="N162" s="260" t="str"/>
      <c r="O162" s="260" t="str"/>
      <c r="P162" s="286">
        <f>IF(H162="已完成",1,IF(H162="待审核",0.8,IF(H162="进行中",0.5,IF(H162="已阻塞",0.25,0))))</f>
        <v/>
      </c>
      <c r="Q162" s="260" t="str"/>
    </row>
    <row r="163" ht="22" customHeight="1" s="48">
      <c r="A163" s="261" t="str"/>
      <c r="B163" s="261" t="str"/>
      <c r="C163" s="261" t="str"/>
      <c r="D163" s="261" t="str"/>
      <c r="E163" s="261" t="str"/>
      <c r="F163" s="261" t="str"/>
      <c r="G163" s="261" t="str"/>
      <c r="H163" s="303" t="str"/>
      <c r="I163" s="261" t="str"/>
      <c r="J163" s="261" t="str"/>
      <c r="K163" s="285" t="str"/>
      <c r="L163" s="285" t="str"/>
      <c r="M163" s="285" t="str"/>
      <c r="N163" s="261" t="str"/>
      <c r="O163" s="261" t="str"/>
      <c r="P163" s="284">
        <f>IF(H163="已完成",1,IF(H163="待审核",0.8,IF(H163="进行中",0.5,IF(H163="已阻塞",0.25,0))))</f>
        <v/>
      </c>
      <c r="Q163" s="261" t="str"/>
    </row>
    <row r="164" ht="22" customHeight="1" s="48">
      <c r="A164" s="260" t="str"/>
      <c r="B164" s="260" t="str"/>
      <c r="C164" s="260" t="str"/>
      <c r="D164" s="260" t="str"/>
      <c r="E164" s="260" t="str"/>
      <c r="F164" s="260" t="str"/>
      <c r="G164" s="260" t="str"/>
      <c r="H164" s="302" t="str"/>
      <c r="I164" s="260" t="str"/>
      <c r="J164" s="260" t="str"/>
      <c r="K164" s="287" t="str"/>
      <c r="L164" s="287" t="str"/>
      <c r="M164" s="287" t="str"/>
      <c r="N164" s="260" t="str"/>
      <c r="O164" s="260" t="str"/>
      <c r="P164" s="286">
        <f>IF(H164="已完成",1,IF(H164="待审核",0.8,IF(H164="进行中",0.5,IF(H164="已阻塞",0.25,0))))</f>
        <v/>
      </c>
      <c r="Q164" s="260" t="str"/>
    </row>
    <row r="165" ht="22" customHeight="1" s="48">
      <c r="A165" s="261" t="str"/>
      <c r="B165" s="261" t="str"/>
      <c r="C165" s="261" t="str"/>
      <c r="D165" s="261" t="str"/>
      <c r="E165" s="261" t="str"/>
      <c r="F165" s="261" t="str"/>
      <c r="G165" s="261" t="str"/>
      <c r="H165" s="303" t="str"/>
      <c r="I165" s="261" t="str"/>
      <c r="J165" s="261" t="str"/>
      <c r="K165" s="285" t="str"/>
      <c r="L165" s="285" t="str"/>
      <c r="M165" s="285" t="str"/>
      <c r="N165" s="261" t="str"/>
      <c r="O165" s="261" t="str"/>
      <c r="P165" s="284">
        <f>IF(H165="已完成",1,IF(H165="待审核",0.8,IF(H165="进行中",0.5,IF(H165="已阻塞",0.25,0))))</f>
        <v/>
      </c>
      <c r="Q165" s="261" t="str"/>
    </row>
    <row r="166" ht="22" customHeight="1" s="48">
      <c r="A166" s="260" t="str"/>
      <c r="B166" s="260" t="str"/>
      <c r="C166" s="260" t="str"/>
      <c r="D166" s="260" t="str"/>
      <c r="E166" s="260" t="str"/>
      <c r="F166" s="260" t="str"/>
      <c r="G166" s="260" t="str"/>
      <c r="H166" s="302" t="str"/>
      <c r="I166" s="260" t="str"/>
      <c r="J166" s="260" t="str"/>
      <c r="K166" s="287" t="str"/>
      <c r="L166" s="287" t="str"/>
      <c r="M166" s="287" t="str"/>
      <c r="N166" s="260" t="str"/>
      <c r="O166" s="260" t="str"/>
      <c r="P166" s="286">
        <f>IF(H166="已完成",1,IF(H166="待审核",0.8,IF(H166="进行中",0.5,IF(H166="已阻塞",0.25,0))))</f>
        <v/>
      </c>
      <c r="Q166" s="260" t="str"/>
    </row>
    <row r="167" ht="22" customHeight="1" s="48">
      <c r="A167" s="261" t="str"/>
      <c r="B167" s="261" t="str"/>
      <c r="C167" s="261" t="str"/>
      <c r="D167" s="261" t="str"/>
      <c r="E167" s="261" t="str"/>
      <c r="F167" s="261" t="str"/>
      <c r="G167" s="261" t="str"/>
      <c r="H167" s="303" t="str"/>
      <c r="I167" s="261" t="str"/>
      <c r="J167" s="261" t="str"/>
      <c r="K167" s="285" t="str"/>
      <c r="L167" s="285" t="str"/>
      <c r="M167" s="285" t="str"/>
      <c r="N167" s="261" t="str"/>
      <c r="O167" s="261" t="str"/>
      <c r="P167" s="284">
        <f>IF(H167="已完成",1,IF(H167="待审核",0.8,IF(H167="进行中",0.5,IF(H167="已阻塞",0.25,0))))</f>
        <v/>
      </c>
      <c r="Q167" s="261" t="str"/>
    </row>
    <row r="168" ht="22" customHeight="1" s="48">
      <c r="A168" s="260" t="str"/>
      <c r="B168" s="260" t="str"/>
      <c r="C168" s="260" t="str"/>
      <c r="D168" s="260" t="str"/>
      <c r="E168" s="260" t="str"/>
      <c r="F168" s="260" t="str"/>
      <c r="G168" s="260" t="str"/>
      <c r="H168" s="302" t="str"/>
      <c r="I168" s="260" t="str"/>
      <c r="J168" s="260" t="str"/>
      <c r="K168" s="287" t="str"/>
      <c r="L168" s="287" t="str"/>
      <c r="M168" s="287" t="str"/>
      <c r="N168" s="260" t="str"/>
      <c r="O168" s="260" t="str"/>
      <c r="P168" s="286">
        <f>IF(H168="已完成",1,IF(H168="待审核",0.8,IF(H168="进行中",0.5,IF(H168="已阻塞",0.25,0))))</f>
        <v/>
      </c>
      <c r="Q168" s="260" t="str"/>
    </row>
    <row r="169" ht="22" customHeight="1" s="48">
      <c r="A169" s="261" t="str"/>
      <c r="B169" s="261" t="str"/>
      <c r="C169" s="261" t="str"/>
      <c r="D169" s="261" t="str"/>
      <c r="E169" s="261" t="str"/>
      <c r="F169" s="261" t="str"/>
      <c r="G169" s="261" t="str"/>
      <c r="H169" s="303" t="str"/>
      <c r="I169" s="261" t="str"/>
      <c r="J169" s="261" t="str"/>
      <c r="K169" s="285" t="str"/>
      <c r="L169" s="285" t="str"/>
      <c r="M169" s="285" t="str"/>
      <c r="N169" s="261" t="str"/>
      <c r="O169" s="261" t="str"/>
      <c r="P169" s="284">
        <f>IF(H169="已完成",1,IF(H169="待审核",0.8,IF(H169="进行中",0.5,IF(H169="已阻塞",0.25,0))))</f>
        <v/>
      </c>
      <c r="Q169" s="261" t="str"/>
    </row>
    <row r="170" ht="22" customHeight="1" s="48">
      <c r="A170" s="260" t="str"/>
      <c r="B170" s="260" t="str"/>
      <c r="C170" s="260" t="str"/>
      <c r="D170" s="260" t="str"/>
      <c r="E170" s="260" t="str"/>
      <c r="F170" s="260" t="str"/>
      <c r="G170" s="260" t="str"/>
      <c r="H170" s="302" t="str"/>
      <c r="I170" s="260" t="str"/>
      <c r="J170" s="260" t="str"/>
      <c r="K170" s="287" t="str"/>
      <c r="L170" s="287" t="str"/>
      <c r="M170" s="287" t="str"/>
      <c r="N170" s="260" t="str"/>
      <c r="O170" s="260" t="str"/>
      <c r="P170" s="286">
        <f>IF(H170="已完成",1,IF(H170="待审核",0.8,IF(H170="进行中",0.5,IF(H170="已阻塞",0.25,0))))</f>
        <v/>
      </c>
      <c r="Q170" s="260" t="str"/>
    </row>
    <row r="171" ht="22" customHeight="1" s="48">
      <c r="A171" s="261" t="str"/>
      <c r="B171" s="261" t="str"/>
      <c r="C171" s="261" t="str"/>
      <c r="D171" s="261" t="str"/>
      <c r="E171" s="261" t="str"/>
      <c r="F171" s="261" t="str"/>
      <c r="G171" s="261" t="str"/>
      <c r="H171" s="303" t="str"/>
      <c r="I171" s="261" t="str"/>
      <c r="J171" s="261" t="str"/>
      <c r="K171" s="285" t="str"/>
      <c r="L171" s="285" t="str"/>
      <c r="M171" s="285" t="str"/>
      <c r="N171" s="261" t="str"/>
      <c r="O171" s="261" t="str"/>
      <c r="P171" s="284">
        <f>IF(H171="已完成",1,IF(H171="待审核",0.8,IF(H171="进行中",0.5,IF(H171="已阻塞",0.25,0))))</f>
        <v/>
      </c>
      <c r="Q171" s="261" t="str"/>
    </row>
    <row r="172" ht="22" customHeight="1" s="48">
      <c r="A172" s="260" t="str"/>
      <c r="B172" s="260" t="str"/>
      <c r="C172" s="260" t="str"/>
      <c r="D172" s="260" t="str"/>
      <c r="E172" s="260" t="str"/>
      <c r="F172" s="260" t="str"/>
      <c r="G172" s="260" t="str"/>
      <c r="H172" s="302" t="str"/>
      <c r="I172" s="260" t="str"/>
      <c r="J172" s="260" t="str"/>
      <c r="K172" s="287" t="str"/>
      <c r="L172" s="287" t="str"/>
      <c r="M172" s="287" t="str"/>
      <c r="N172" s="260" t="str"/>
      <c r="O172" s="260" t="str"/>
      <c r="P172" s="286">
        <f>IF(H172="已完成",1,IF(H172="待审核",0.8,IF(H172="进行中",0.5,IF(H172="已阻塞",0.25,0))))</f>
        <v/>
      </c>
      <c r="Q172" s="260" t="str"/>
    </row>
    <row r="173" ht="22" customHeight="1" s="48">
      <c r="A173" s="261" t="str"/>
      <c r="B173" s="261" t="str"/>
      <c r="C173" s="261" t="str"/>
      <c r="D173" s="261" t="str"/>
      <c r="E173" s="261" t="str"/>
      <c r="F173" s="261" t="str"/>
      <c r="G173" s="261" t="str"/>
      <c r="H173" s="303" t="str"/>
      <c r="I173" s="261" t="str"/>
      <c r="J173" s="261" t="str"/>
      <c r="K173" s="285" t="str"/>
      <c r="L173" s="285" t="str"/>
      <c r="M173" s="285" t="str"/>
      <c r="N173" s="261" t="str"/>
      <c r="O173" s="261" t="str"/>
      <c r="P173" s="284">
        <f>IF(H173="已完成",1,IF(H173="待审核",0.8,IF(H173="进行中",0.5,IF(H173="已阻塞",0.25,0))))</f>
        <v/>
      </c>
      <c r="Q173" s="261" t="str"/>
    </row>
    <row r="174" ht="22" customHeight="1" s="48">
      <c r="A174" s="260" t="str"/>
      <c r="B174" s="260" t="str"/>
      <c r="C174" s="260" t="str"/>
      <c r="D174" s="260" t="str"/>
      <c r="E174" s="260" t="str"/>
      <c r="F174" s="260" t="str"/>
      <c r="G174" s="260" t="str"/>
      <c r="H174" s="302" t="str"/>
      <c r="I174" s="260" t="str"/>
      <c r="J174" s="260" t="str"/>
      <c r="K174" s="287" t="str"/>
      <c r="L174" s="287" t="str"/>
      <c r="M174" s="287" t="str"/>
      <c r="N174" s="260" t="str"/>
      <c r="O174" s="260" t="str"/>
      <c r="P174" s="286">
        <f>IF(H174="已完成",1,IF(H174="待审核",0.8,IF(H174="进行中",0.5,IF(H174="已阻塞",0.25,0))))</f>
        <v/>
      </c>
      <c r="Q174" s="260" t="str"/>
    </row>
    <row r="175" ht="22" customHeight="1" s="48">
      <c r="A175" s="261" t="str"/>
      <c r="B175" s="261" t="str"/>
      <c r="C175" s="261" t="str"/>
      <c r="D175" s="261" t="str"/>
      <c r="E175" s="261" t="str"/>
      <c r="F175" s="261" t="str"/>
      <c r="G175" s="261" t="str"/>
      <c r="H175" s="303" t="str"/>
      <c r="I175" s="261" t="str"/>
      <c r="J175" s="261" t="str"/>
      <c r="K175" s="285" t="str"/>
      <c r="L175" s="285" t="str"/>
      <c r="M175" s="285" t="str"/>
      <c r="N175" s="261" t="str"/>
      <c r="O175" s="261" t="str"/>
      <c r="P175" s="284">
        <f>IF(H175="已完成",1,IF(H175="待审核",0.8,IF(H175="进行中",0.5,IF(H175="已阻塞",0.25,0))))</f>
        <v/>
      </c>
      <c r="Q175" s="261" t="str"/>
    </row>
    <row r="176" ht="22" customHeight="1" s="48">
      <c r="A176" s="260" t="str"/>
      <c r="B176" s="260" t="str"/>
      <c r="C176" s="260" t="str"/>
      <c r="D176" s="260" t="str"/>
      <c r="E176" s="260" t="str"/>
      <c r="F176" s="260" t="str"/>
      <c r="G176" s="260" t="str"/>
      <c r="H176" s="302" t="str"/>
      <c r="I176" s="260" t="str"/>
      <c r="J176" s="260" t="str"/>
      <c r="K176" s="287" t="str"/>
      <c r="L176" s="287" t="str"/>
      <c r="M176" s="287" t="str"/>
      <c r="N176" s="260" t="str"/>
      <c r="O176" s="260" t="str"/>
      <c r="P176" s="286">
        <f>IF(H176="已完成",1,IF(H176="待审核",0.8,IF(H176="进行中",0.5,IF(H176="已阻塞",0.25,0))))</f>
        <v/>
      </c>
      <c r="Q176" s="260" t="str"/>
    </row>
    <row r="177" ht="22" customHeight="1" s="48">
      <c r="A177" s="261" t="str"/>
      <c r="B177" s="261" t="str"/>
      <c r="C177" s="261" t="str"/>
      <c r="D177" s="261" t="str"/>
      <c r="E177" s="261" t="str"/>
      <c r="F177" s="261" t="str"/>
      <c r="G177" s="261" t="str"/>
      <c r="H177" s="303" t="str"/>
      <c r="I177" s="261" t="str"/>
      <c r="J177" s="261" t="str"/>
      <c r="K177" s="285" t="str"/>
      <c r="L177" s="285" t="str"/>
      <c r="M177" s="285" t="str"/>
      <c r="N177" s="261" t="str"/>
      <c r="O177" s="261" t="str"/>
      <c r="P177" s="284">
        <f>IF(H177="已完成",1,IF(H177="待审核",0.8,IF(H177="进行中",0.5,IF(H177="已阻塞",0.25,0))))</f>
        <v/>
      </c>
      <c r="Q177" s="261" t="str"/>
    </row>
    <row r="178" ht="22" customHeight="1" s="48">
      <c r="A178" s="260" t="str"/>
      <c r="B178" s="260" t="str"/>
      <c r="C178" s="260" t="str"/>
      <c r="D178" s="260" t="str"/>
      <c r="E178" s="260" t="str"/>
      <c r="F178" s="260" t="str"/>
      <c r="G178" s="260" t="str"/>
      <c r="H178" s="302" t="str"/>
      <c r="I178" s="260" t="str"/>
      <c r="J178" s="260" t="str"/>
      <c r="K178" s="287" t="str"/>
      <c r="L178" s="287" t="str"/>
      <c r="M178" s="287" t="str"/>
      <c r="N178" s="260" t="str"/>
      <c r="O178" s="260" t="str"/>
      <c r="P178" s="286">
        <f>IF(H178="已完成",1,IF(H178="待审核",0.8,IF(H178="进行中",0.5,IF(H178="已阻塞",0.25,0))))</f>
        <v/>
      </c>
      <c r="Q178" s="260" t="str"/>
    </row>
    <row r="179" ht="22" customHeight="1" s="48">
      <c r="A179" s="261" t="str"/>
      <c r="B179" s="261" t="str"/>
      <c r="C179" s="261" t="str"/>
      <c r="D179" s="261" t="str"/>
      <c r="E179" s="261" t="str"/>
      <c r="F179" s="261" t="str"/>
      <c r="G179" s="261" t="str"/>
      <c r="H179" s="303" t="str"/>
      <c r="I179" s="261" t="str"/>
      <c r="J179" s="261" t="str"/>
      <c r="K179" s="285" t="str"/>
      <c r="L179" s="285" t="str"/>
      <c r="M179" s="285" t="str"/>
      <c r="N179" s="261" t="str"/>
      <c r="O179" s="261" t="str"/>
      <c r="P179" s="284">
        <f>IF(H179="已完成",1,IF(H179="待审核",0.8,IF(H179="进行中",0.5,IF(H179="已阻塞",0.25,0))))</f>
        <v/>
      </c>
      <c r="Q179" s="261" t="str"/>
    </row>
    <row r="180" ht="22" customHeight="1" s="48">
      <c r="A180" s="260" t="str"/>
      <c r="B180" s="260" t="str"/>
      <c r="C180" s="260" t="str"/>
      <c r="D180" s="260" t="str"/>
      <c r="E180" s="260" t="str"/>
      <c r="F180" s="260" t="str"/>
      <c r="G180" s="260" t="str"/>
      <c r="H180" s="302" t="str"/>
      <c r="I180" s="260" t="str"/>
      <c r="J180" s="260" t="str"/>
      <c r="K180" s="287" t="str"/>
      <c r="L180" s="287" t="str"/>
      <c r="M180" s="287" t="str"/>
      <c r="N180" s="260" t="str"/>
      <c r="O180" s="260" t="str"/>
      <c r="P180" s="286">
        <f>IF(H180="已完成",1,IF(H180="待审核",0.8,IF(H180="进行中",0.5,IF(H180="已阻塞",0.25,0))))</f>
        <v/>
      </c>
      <c r="Q180" s="260" t="str"/>
    </row>
    <row r="181" ht="22" customHeight="1" s="48">
      <c r="A181" s="261" t="str"/>
      <c r="B181" s="261" t="str"/>
      <c r="C181" s="261" t="str"/>
      <c r="D181" s="261" t="str"/>
      <c r="E181" s="261" t="str"/>
      <c r="F181" s="261" t="str"/>
      <c r="G181" s="261" t="str"/>
      <c r="H181" s="303" t="str"/>
      <c r="I181" s="261" t="str"/>
      <c r="J181" s="261" t="str"/>
      <c r="K181" s="285" t="str"/>
      <c r="L181" s="285" t="str"/>
      <c r="M181" s="285" t="str"/>
      <c r="N181" s="261" t="str"/>
      <c r="O181" s="261" t="str"/>
      <c r="P181" s="284">
        <f>IF(H181="已完成",1,IF(H181="待审核",0.8,IF(H181="进行中",0.5,IF(H181="已阻塞",0.25,0))))</f>
        <v/>
      </c>
      <c r="Q181" s="261" t="str"/>
    </row>
    <row r="182" ht="22" customHeight="1" s="48">
      <c r="A182" s="260" t="str"/>
      <c r="B182" s="260" t="str"/>
      <c r="C182" s="260" t="str"/>
      <c r="D182" s="260" t="str"/>
      <c r="E182" s="260" t="str"/>
      <c r="F182" s="260" t="str"/>
      <c r="G182" s="260" t="str"/>
      <c r="H182" s="302" t="str"/>
      <c r="I182" s="260" t="str"/>
      <c r="J182" s="260" t="str"/>
      <c r="K182" s="287" t="str"/>
      <c r="L182" s="287" t="str"/>
      <c r="M182" s="287" t="str"/>
      <c r="N182" s="260" t="str"/>
      <c r="O182" s="260" t="str"/>
      <c r="P182" s="286">
        <f>IF(H182="已完成",1,IF(H182="待审核",0.8,IF(H182="进行中",0.5,IF(H182="已阻塞",0.25,0))))</f>
        <v/>
      </c>
      <c r="Q182" s="260" t="str"/>
    </row>
    <row r="183" ht="22" customHeight="1" s="48">
      <c r="A183" s="261" t="str"/>
      <c r="B183" s="261" t="str"/>
      <c r="C183" s="261" t="str"/>
      <c r="D183" s="261" t="str"/>
      <c r="E183" s="261" t="str"/>
      <c r="F183" s="261" t="str"/>
      <c r="G183" s="261" t="str"/>
      <c r="H183" s="303" t="str"/>
      <c r="I183" s="261" t="str"/>
      <c r="J183" s="261" t="str"/>
      <c r="K183" s="285" t="str"/>
      <c r="L183" s="285" t="str"/>
      <c r="M183" s="285" t="str"/>
      <c r="N183" s="261" t="str"/>
      <c r="O183" s="261" t="str"/>
      <c r="P183" s="284">
        <f>IF(H183="已完成",1,IF(H183="待审核",0.8,IF(H183="进行中",0.5,IF(H183="已阻塞",0.25,0))))</f>
        <v/>
      </c>
      <c r="Q183" s="261" t="str"/>
    </row>
    <row r="184" ht="22" customHeight="1" s="48">
      <c r="A184" s="260" t="str"/>
      <c r="B184" s="260" t="str"/>
      <c r="C184" s="260" t="str"/>
      <c r="D184" s="260" t="str"/>
      <c r="E184" s="260" t="str"/>
      <c r="F184" s="260" t="str"/>
      <c r="G184" s="260" t="str"/>
      <c r="H184" s="302" t="str"/>
      <c r="I184" s="260" t="str"/>
      <c r="J184" s="260" t="str"/>
      <c r="K184" s="287" t="str"/>
      <c r="L184" s="287" t="str"/>
      <c r="M184" s="287" t="str"/>
      <c r="N184" s="260" t="str"/>
      <c r="O184" s="260" t="str"/>
      <c r="P184" s="286">
        <f>IF(H184="已完成",1,IF(H184="待审核",0.8,IF(H184="进行中",0.5,IF(H184="已阻塞",0.25,0))))</f>
        <v/>
      </c>
      <c r="Q184" s="260" t="str"/>
    </row>
    <row r="185" ht="22" customHeight="1" s="48">
      <c r="A185" s="261" t="str"/>
      <c r="B185" s="261" t="str"/>
      <c r="C185" s="261" t="str"/>
      <c r="D185" s="261" t="str"/>
      <c r="E185" s="261" t="str"/>
      <c r="F185" s="261" t="str"/>
      <c r="G185" s="261" t="str"/>
      <c r="H185" s="303" t="str"/>
      <c r="I185" s="261" t="str"/>
      <c r="J185" s="261" t="str"/>
      <c r="K185" s="285" t="str"/>
      <c r="L185" s="285" t="str"/>
      <c r="M185" s="285" t="str"/>
      <c r="N185" s="261" t="str"/>
      <c r="O185" s="261" t="str"/>
      <c r="P185" s="284">
        <f>IF(H185="已完成",1,IF(H185="待审核",0.8,IF(H185="进行中",0.5,IF(H185="已阻塞",0.25,0))))</f>
        <v/>
      </c>
      <c r="Q185" s="261" t="str"/>
    </row>
    <row r="186" ht="22" customHeight="1" s="48">
      <c r="A186" s="260" t="str"/>
      <c r="B186" s="260" t="str"/>
      <c r="C186" s="260" t="str"/>
      <c r="D186" s="260" t="str"/>
      <c r="E186" s="260" t="str"/>
      <c r="F186" s="260" t="str"/>
      <c r="G186" s="260" t="str"/>
      <c r="H186" s="302" t="str"/>
      <c r="I186" s="260" t="str"/>
      <c r="J186" s="260" t="str"/>
      <c r="K186" s="287" t="str"/>
      <c r="L186" s="287" t="str"/>
      <c r="M186" s="287" t="str"/>
      <c r="N186" s="260" t="str"/>
      <c r="O186" s="260" t="str"/>
      <c r="P186" s="286">
        <f>IF(H186="已完成",1,IF(H186="待审核",0.8,IF(H186="进行中",0.5,IF(H186="已阻塞",0.25,0))))</f>
        <v/>
      </c>
      <c r="Q186" s="260" t="str"/>
    </row>
    <row r="187" ht="22" customHeight="1" s="48">
      <c r="A187" s="261" t="str"/>
      <c r="B187" s="261" t="str"/>
      <c r="C187" s="261" t="str"/>
      <c r="D187" s="261" t="str"/>
      <c r="E187" s="261" t="str"/>
      <c r="F187" s="261" t="str"/>
      <c r="G187" s="261" t="str"/>
      <c r="H187" s="303" t="str"/>
      <c r="I187" s="261" t="str"/>
      <c r="J187" s="261" t="str"/>
      <c r="K187" s="285" t="str"/>
      <c r="L187" s="285" t="str"/>
      <c r="M187" s="285" t="str"/>
      <c r="N187" s="261" t="str"/>
      <c r="O187" s="261" t="str"/>
      <c r="P187" s="284">
        <f>IF(H187="已完成",1,IF(H187="待审核",0.8,IF(H187="进行中",0.5,IF(H187="已阻塞",0.25,0))))</f>
        <v/>
      </c>
      <c r="Q187" s="261" t="str"/>
    </row>
    <row r="188" ht="22" customHeight="1" s="48">
      <c r="A188" s="260" t="str"/>
      <c r="B188" s="260" t="str"/>
      <c r="C188" s="260" t="str"/>
      <c r="D188" s="260" t="str"/>
      <c r="E188" s="260" t="str"/>
      <c r="F188" s="260" t="str"/>
      <c r="G188" s="260" t="str"/>
      <c r="H188" s="302" t="str"/>
      <c r="I188" s="260" t="str"/>
      <c r="J188" s="260" t="str"/>
      <c r="K188" s="287" t="str"/>
      <c r="L188" s="287" t="str"/>
      <c r="M188" s="287" t="str"/>
      <c r="N188" s="260" t="str"/>
      <c r="O188" s="260" t="str"/>
      <c r="P188" s="286">
        <f>IF(H188="已完成",1,IF(H188="待审核",0.8,IF(H188="进行中",0.5,IF(H188="已阻塞",0.25,0))))</f>
        <v/>
      </c>
      <c r="Q188" s="260" t="str"/>
    </row>
    <row r="189" ht="22" customHeight="1" s="48">
      <c r="A189" s="261" t="str"/>
      <c r="B189" s="261" t="str"/>
      <c r="C189" s="261" t="str"/>
      <c r="D189" s="261" t="str"/>
      <c r="E189" s="261" t="str"/>
      <c r="F189" s="261" t="str"/>
      <c r="G189" s="261" t="str"/>
      <c r="H189" s="303" t="str"/>
      <c r="I189" s="261" t="str"/>
      <c r="J189" s="261" t="str"/>
      <c r="K189" s="285" t="str"/>
      <c r="L189" s="285" t="str"/>
      <c r="M189" s="285" t="str"/>
      <c r="N189" s="261" t="str"/>
      <c r="O189" s="261" t="str"/>
      <c r="P189" s="284">
        <f>IF(H189="已完成",1,IF(H189="待审核",0.8,IF(H189="进行中",0.5,IF(H189="已阻塞",0.25,0))))</f>
        <v/>
      </c>
      <c r="Q189" s="261" t="str"/>
    </row>
    <row r="190" ht="22" customHeight="1" s="48">
      <c r="A190" s="260" t="str"/>
      <c r="B190" s="260" t="str"/>
      <c r="C190" s="260" t="str"/>
      <c r="D190" s="260" t="str"/>
      <c r="E190" s="260" t="str"/>
      <c r="F190" s="260" t="str"/>
      <c r="G190" s="260" t="str"/>
      <c r="H190" s="302" t="str"/>
      <c r="I190" s="260" t="str"/>
      <c r="J190" s="260" t="str"/>
      <c r="K190" s="287" t="str"/>
      <c r="L190" s="287" t="str"/>
      <c r="M190" s="287" t="str"/>
      <c r="N190" s="260" t="str"/>
      <c r="O190" s="260" t="str"/>
      <c r="P190" s="286">
        <f>IF(H190="已完成",1,IF(H190="待审核",0.8,IF(H190="进行中",0.5,IF(H190="已阻塞",0.25,0))))</f>
        <v/>
      </c>
      <c r="Q190" s="260" t="str"/>
    </row>
    <row r="191" ht="22" customHeight="1" s="48">
      <c r="A191" s="261" t="str"/>
      <c r="B191" s="261" t="str"/>
      <c r="C191" s="261" t="str"/>
      <c r="D191" s="261" t="str"/>
      <c r="E191" s="261" t="str"/>
      <c r="F191" s="261" t="str"/>
      <c r="G191" s="261" t="str"/>
      <c r="H191" s="303" t="str"/>
      <c r="I191" s="261" t="str"/>
      <c r="J191" s="261" t="str"/>
      <c r="K191" s="285" t="str"/>
      <c r="L191" s="285" t="str"/>
      <c r="M191" s="285" t="str"/>
      <c r="N191" s="261" t="str"/>
      <c r="O191" s="261" t="str"/>
      <c r="P191" s="284">
        <f>IF(H191="已完成",1,IF(H191="待审核",0.8,IF(H191="进行中",0.5,IF(H191="已阻塞",0.25,0))))</f>
        <v/>
      </c>
      <c r="Q191" s="261" t="str"/>
    </row>
    <row r="192" ht="22" customHeight="1" s="48">
      <c r="A192" s="260" t="str"/>
      <c r="B192" s="260" t="str"/>
      <c r="C192" s="260" t="str"/>
      <c r="D192" s="260" t="str"/>
      <c r="E192" s="260" t="str"/>
      <c r="F192" s="260" t="str"/>
      <c r="G192" s="260" t="str"/>
      <c r="H192" s="302" t="str"/>
      <c r="I192" s="260" t="str"/>
      <c r="J192" s="260" t="str"/>
      <c r="K192" s="287" t="str"/>
      <c r="L192" s="287" t="str"/>
      <c r="M192" s="287" t="str"/>
      <c r="N192" s="260" t="str"/>
      <c r="O192" s="260" t="str"/>
      <c r="P192" s="286">
        <f>IF(H192="已完成",1,IF(H192="待审核",0.8,IF(H192="进行中",0.5,IF(H192="已阻塞",0.25,0))))</f>
        <v/>
      </c>
      <c r="Q192" s="260" t="str"/>
    </row>
    <row r="193" ht="22" customHeight="1" s="48">
      <c r="A193" s="261" t="str"/>
      <c r="B193" s="261" t="str"/>
      <c r="C193" s="261" t="str"/>
      <c r="D193" s="261" t="str"/>
      <c r="E193" s="261" t="str"/>
      <c r="F193" s="261" t="str"/>
      <c r="G193" s="261" t="str"/>
      <c r="H193" s="303" t="str"/>
      <c r="I193" s="261" t="str"/>
      <c r="J193" s="261" t="str"/>
      <c r="K193" s="285" t="str"/>
      <c r="L193" s="285" t="str"/>
      <c r="M193" s="285" t="str"/>
      <c r="N193" s="261" t="str"/>
      <c r="O193" s="261" t="str"/>
      <c r="P193" s="284">
        <f>IF(H193="已完成",1,IF(H193="待审核",0.8,IF(H193="进行中",0.5,IF(H193="已阻塞",0.25,0))))</f>
        <v/>
      </c>
      <c r="Q193" s="261" t="str"/>
    </row>
    <row r="194" ht="22" customHeight="1" s="48">
      <c r="A194" s="260" t="str"/>
      <c r="B194" s="260" t="str"/>
      <c r="C194" s="260" t="str"/>
      <c r="D194" s="260" t="str"/>
      <c r="E194" s="260" t="str"/>
      <c r="F194" s="260" t="str"/>
      <c r="G194" s="260" t="str"/>
      <c r="H194" s="302" t="str"/>
      <c r="I194" s="260" t="str"/>
      <c r="J194" s="260" t="str"/>
      <c r="K194" s="287" t="str"/>
      <c r="L194" s="287" t="str"/>
      <c r="M194" s="287" t="str"/>
      <c r="N194" s="260" t="str"/>
      <c r="O194" s="260" t="str"/>
      <c r="P194" s="286">
        <f>IF(H194="已完成",1,IF(H194="待审核",0.8,IF(H194="进行中",0.5,IF(H194="已阻塞",0.25,0))))</f>
        <v/>
      </c>
      <c r="Q194" s="260" t="str"/>
    </row>
    <row r="195" ht="22" customHeight="1" s="48">
      <c r="A195" s="261" t="str"/>
      <c r="B195" s="261" t="str"/>
      <c r="C195" s="261" t="str"/>
      <c r="D195" s="261" t="str"/>
      <c r="E195" s="261" t="str"/>
      <c r="F195" s="261" t="str"/>
      <c r="G195" s="261" t="str"/>
      <c r="H195" s="303" t="str"/>
      <c r="I195" s="261" t="str"/>
      <c r="J195" s="261" t="str"/>
      <c r="K195" s="285" t="str"/>
      <c r="L195" s="285" t="str"/>
      <c r="M195" s="285" t="str"/>
      <c r="N195" s="261" t="str"/>
      <c r="O195" s="261" t="str"/>
      <c r="P195" s="284">
        <f>IF(H195="已完成",1,IF(H195="待审核",0.8,IF(H195="进行中",0.5,IF(H195="已阻塞",0.25,0))))</f>
        <v/>
      </c>
      <c r="Q195" s="261" t="str"/>
    </row>
    <row r="196" ht="22" customHeight="1" s="48">
      <c r="A196" s="260" t="str"/>
      <c r="B196" s="260" t="str"/>
      <c r="C196" s="260" t="str"/>
      <c r="D196" s="260" t="str"/>
      <c r="E196" s="260" t="str"/>
      <c r="F196" s="260" t="str"/>
      <c r="G196" s="260" t="str"/>
      <c r="H196" s="302" t="str"/>
      <c r="I196" s="260" t="str"/>
      <c r="J196" s="260" t="str"/>
      <c r="K196" s="287" t="str"/>
      <c r="L196" s="287" t="str"/>
      <c r="M196" s="287" t="str"/>
      <c r="N196" s="260" t="str"/>
      <c r="O196" s="260" t="str"/>
      <c r="P196" s="286">
        <f>IF(H196="已完成",1,IF(H196="待审核",0.8,IF(H196="进行中",0.5,IF(H196="已阻塞",0.25,0))))</f>
        <v/>
      </c>
      <c r="Q196" s="260" t="str"/>
    </row>
    <row r="197" ht="22" customHeight="1" s="48">
      <c r="A197" s="261" t="str"/>
      <c r="B197" s="261" t="str"/>
      <c r="C197" s="261" t="str"/>
      <c r="D197" s="261" t="str"/>
      <c r="E197" s="261" t="str"/>
      <c r="F197" s="261" t="str"/>
      <c r="G197" s="261" t="str"/>
      <c r="H197" s="303" t="str"/>
      <c r="I197" s="261" t="str"/>
      <c r="J197" s="261" t="str"/>
      <c r="K197" s="285" t="str"/>
      <c r="L197" s="285" t="str"/>
      <c r="M197" s="285" t="str"/>
      <c r="N197" s="261" t="str"/>
      <c r="O197" s="261" t="str"/>
      <c r="P197" s="284">
        <f>IF(H197="已完成",1,IF(H197="待审核",0.8,IF(H197="进行中",0.5,IF(H197="已阻塞",0.25,0))))</f>
        <v/>
      </c>
      <c r="Q197" s="261" t="str"/>
    </row>
    <row r="198" ht="22" customHeight="1" s="48">
      <c r="A198" s="260" t="str"/>
      <c r="B198" s="260" t="str"/>
      <c r="C198" s="260" t="str"/>
      <c r="D198" s="260" t="str"/>
      <c r="E198" s="260" t="str"/>
      <c r="F198" s="260" t="str"/>
      <c r="G198" s="260" t="str"/>
      <c r="H198" s="302" t="str"/>
      <c r="I198" s="260" t="str"/>
      <c r="J198" s="260" t="str"/>
      <c r="K198" s="287" t="str"/>
      <c r="L198" s="287" t="str"/>
      <c r="M198" s="287" t="str"/>
      <c r="N198" s="260" t="str"/>
      <c r="O198" s="260" t="str"/>
      <c r="P198" s="286">
        <f>IF(H198="已完成",1,IF(H198="待审核",0.8,IF(H198="进行中",0.5,IF(H198="已阻塞",0.25,0))))</f>
        <v/>
      </c>
      <c r="Q198" s="260" t="str"/>
    </row>
    <row r="199" ht="22" customHeight="1" s="48">
      <c r="A199" s="261" t="str"/>
      <c r="B199" s="261" t="str"/>
      <c r="C199" s="261" t="str"/>
      <c r="D199" s="261" t="str"/>
      <c r="E199" s="261" t="str"/>
      <c r="F199" s="261" t="str"/>
      <c r="G199" s="261" t="str"/>
      <c r="H199" s="303" t="str"/>
      <c r="I199" s="261" t="str"/>
      <c r="J199" s="261" t="str"/>
      <c r="K199" s="285" t="str"/>
      <c r="L199" s="285" t="str"/>
      <c r="M199" s="285" t="str"/>
      <c r="N199" s="261" t="str"/>
      <c r="O199" s="261" t="str"/>
      <c r="P199" s="284">
        <f>IF(H199="已完成",1,IF(H199="待审核",0.8,IF(H199="进行中",0.5,IF(H199="已阻塞",0.25,0))))</f>
        <v/>
      </c>
      <c r="Q199" s="261" t="str"/>
    </row>
    <row r="200" ht="22" customHeight="1" s="48">
      <c r="A200" s="260" t="str"/>
      <c r="B200" s="260" t="str"/>
      <c r="C200" s="260" t="str"/>
      <c r="D200" s="260" t="str"/>
      <c r="E200" s="260" t="str"/>
      <c r="F200" s="260" t="str"/>
      <c r="G200" s="260" t="str"/>
      <c r="H200" s="302" t="str"/>
      <c r="I200" s="260" t="str"/>
      <c r="J200" s="260" t="str"/>
      <c r="K200" s="287" t="str"/>
      <c r="L200" s="287" t="str"/>
      <c r="M200" s="287" t="str"/>
      <c r="N200" s="260" t="str"/>
      <c r="O200" s="260" t="str"/>
      <c r="P200" s="286">
        <f>IF(H200="已完成",1,IF(H200="待审核",0.8,IF(H200="进行中",0.5,IF(H200="已阻塞",0.25,0))))</f>
        <v/>
      </c>
      <c r="Q200" s="260" t="str"/>
    </row>
    <row r="201" ht="22" customHeight="1" s="48">
      <c r="A201" s="261" t="str"/>
      <c r="B201" s="261" t="str"/>
      <c r="C201" s="261" t="str"/>
      <c r="D201" s="261" t="str"/>
      <c r="E201" s="261" t="str"/>
      <c r="F201" s="261" t="str"/>
      <c r="G201" s="261" t="str"/>
      <c r="H201" s="303" t="str"/>
      <c r="I201" s="261" t="str"/>
      <c r="J201" s="261" t="str"/>
      <c r="K201" s="285" t="str"/>
      <c r="L201" s="285" t="str"/>
      <c r="M201" s="285" t="str"/>
      <c r="N201" s="261" t="str"/>
      <c r="O201" s="261" t="str"/>
      <c r="P201" s="284">
        <f>IF(H201="已完成",1,IF(H201="待审核",0.8,IF(H201="进行中",0.5,IF(H201="已阻塞",0.25,0))))</f>
        <v/>
      </c>
      <c r="Q201" s="261" t="str"/>
    </row>
    <row r="202" ht="22" customHeight="1" s="48">
      <c r="A202" s="260" t="str"/>
      <c r="B202" s="260" t="str"/>
      <c r="C202" s="260" t="str"/>
      <c r="D202" s="260" t="str"/>
      <c r="E202" s="260" t="str"/>
      <c r="F202" s="260" t="str"/>
      <c r="G202" s="260" t="str"/>
      <c r="H202" s="302" t="str"/>
      <c r="I202" s="260" t="str"/>
      <c r="J202" s="260" t="str"/>
      <c r="K202" s="287" t="str"/>
      <c r="L202" s="287" t="str"/>
      <c r="M202" s="287" t="str"/>
      <c r="N202" s="260" t="str"/>
      <c r="O202" s="260" t="str"/>
      <c r="P202" s="286">
        <f>IF(H202="已完成",1,IF(H202="待审核",0.8,IF(H202="进行中",0.5,IF(H202="已阻塞",0.25,0))))</f>
        <v/>
      </c>
      <c r="Q202" s="260" t="str"/>
    </row>
    <row r="203" ht="22" customHeight="1" s="48">
      <c r="A203" s="261" t="str"/>
      <c r="B203" s="261" t="str"/>
      <c r="C203" s="261" t="str"/>
      <c r="D203" s="261" t="str"/>
      <c r="E203" s="261" t="str"/>
      <c r="F203" s="261" t="str"/>
      <c r="G203" s="261" t="str"/>
      <c r="H203" s="303" t="str"/>
      <c r="I203" s="261" t="str"/>
      <c r="J203" s="261" t="str"/>
      <c r="K203" s="285" t="str"/>
      <c r="L203" s="285" t="str"/>
      <c r="M203" s="285" t="str"/>
      <c r="N203" s="261" t="str"/>
      <c r="O203" s="261" t="str"/>
      <c r="P203" s="284">
        <f>IF(H203="已完成",1,IF(H203="待审核",0.8,IF(H203="进行中",0.5,IF(H203="已阻塞",0.25,0))))</f>
        <v/>
      </c>
      <c r="Q203" s="261" t="str"/>
    </row>
    <row r="204" ht="22" customHeight="1" s="48">
      <c r="A204" s="260" t="str"/>
      <c r="B204" s="260" t="str"/>
      <c r="C204" s="260" t="str"/>
      <c r="D204" s="260" t="str"/>
      <c r="E204" s="260" t="str"/>
      <c r="F204" s="260" t="str"/>
      <c r="G204" s="260" t="str"/>
      <c r="H204" s="302" t="str"/>
      <c r="I204" s="260" t="str"/>
      <c r="J204" s="260" t="str"/>
      <c r="K204" s="287" t="str"/>
      <c r="L204" s="287" t="str"/>
      <c r="M204" s="287" t="str"/>
      <c r="N204" s="260" t="str"/>
      <c r="O204" s="260" t="str"/>
      <c r="P204" s="286">
        <f>IF(H204="已完成",1,IF(H204="待审核",0.8,IF(H204="进行中",0.5,IF(H204="已阻塞",0.25,0))))</f>
        <v/>
      </c>
      <c r="Q204" s="260" t="str"/>
    </row>
    <row r="205" ht="22" customHeight="1" s="48">
      <c r="A205" s="261" t="str"/>
      <c r="B205" s="261" t="str"/>
      <c r="C205" s="261" t="str"/>
      <c r="D205" s="261" t="str"/>
      <c r="E205" s="261" t="str"/>
      <c r="F205" s="261" t="str"/>
      <c r="G205" s="261" t="str"/>
      <c r="H205" s="303" t="str"/>
      <c r="I205" s="261" t="str"/>
      <c r="J205" s="261" t="str"/>
      <c r="K205" s="285" t="str"/>
      <c r="L205" s="285" t="str"/>
      <c r="M205" s="285" t="str"/>
      <c r="N205" s="261" t="str"/>
      <c r="O205" s="261" t="str"/>
      <c r="P205" s="284">
        <f>IF(H205="已完成",1,IF(H205="待审核",0.8,IF(H205="进行中",0.5,IF(H205="已阻塞",0.25,0))))</f>
        <v/>
      </c>
      <c r="Q205" s="261" t="str"/>
    </row>
    <row r="206" ht="22" customHeight="1" s="48">
      <c r="A206" s="260" t="str"/>
      <c r="B206" s="260" t="str"/>
      <c r="C206" s="260" t="str"/>
      <c r="D206" s="260" t="str"/>
      <c r="E206" s="260" t="str"/>
      <c r="F206" s="260" t="str"/>
      <c r="G206" s="260" t="str"/>
      <c r="H206" s="302" t="str"/>
      <c r="I206" s="260" t="str"/>
      <c r="J206" s="260" t="str"/>
      <c r="K206" s="287" t="str"/>
      <c r="L206" s="287" t="str"/>
      <c r="M206" s="287" t="str"/>
      <c r="N206" s="260" t="str"/>
      <c r="O206" s="260" t="str"/>
      <c r="P206" s="286">
        <f>IF(H206="已完成",1,IF(H206="待审核",0.8,IF(H206="进行中",0.5,IF(H206="已阻塞",0.25,0))))</f>
        <v/>
      </c>
      <c r="Q206" s="260" t="str"/>
    </row>
    <row r="207" ht="22" customHeight="1" s="48">
      <c r="A207" s="261" t="str"/>
      <c r="B207" s="261" t="str"/>
      <c r="C207" s="261" t="str"/>
      <c r="D207" s="261" t="str"/>
      <c r="E207" s="261" t="str"/>
      <c r="F207" s="261" t="str"/>
      <c r="G207" s="261" t="str"/>
      <c r="H207" s="303" t="str"/>
      <c r="I207" s="261" t="str"/>
      <c r="J207" s="261" t="str"/>
      <c r="K207" s="285" t="str"/>
      <c r="L207" s="285" t="str"/>
      <c r="M207" s="285" t="str"/>
      <c r="N207" s="261" t="str"/>
      <c r="O207" s="261" t="str"/>
      <c r="P207" s="284">
        <f>IF(H207="已完成",1,IF(H207="待审核",0.8,IF(H207="进行中",0.5,IF(H207="已阻塞",0.25,0))))</f>
        <v/>
      </c>
      <c r="Q207" s="261" t="str"/>
    </row>
    <row r="208" ht="22" customHeight="1" s="48">
      <c r="A208" s="260" t="str"/>
      <c r="B208" s="260" t="str"/>
      <c r="C208" s="260" t="str"/>
      <c r="D208" s="260" t="str"/>
      <c r="E208" s="260" t="str"/>
      <c r="F208" s="260" t="str"/>
      <c r="G208" s="260" t="str"/>
      <c r="H208" s="302" t="str"/>
      <c r="I208" s="260" t="str"/>
      <c r="J208" s="260" t="str"/>
      <c r="K208" s="287" t="str"/>
      <c r="L208" s="287" t="str"/>
      <c r="M208" s="287" t="str"/>
      <c r="N208" s="260" t="str"/>
      <c r="O208" s="260" t="str"/>
      <c r="P208" s="286">
        <f>IF(H208="已完成",1,IF(H208="待审核",0.8,IF(H208="进行中",0.5,IF(H208="已阻塞",0.25,0))))</f>
        <v/>
      </c>
      <c r="Q208" s="260" t="str"/>
    </row>
    <row r="209" ht="22" customHeight="1" s="48">
      <c r="A209" s="261" t="str"/>
      <c r="B209" s="261" t="str"/>
      <c r="C209" s="261" t="str"/>
      <c r="D209" s="261" t="str"/>
      <c r="E209" s="261" t="str"/>
      <c r="F209" s="261" t="str"/>
      <c r="G209" s="261" t="str"/>
      <c r="H209" s="303" t="str"/>
      <c r="I209" s="261" t="str"/>
      <c r="J209" s="261" t="str"/>
      <c r="K209" s="285" t="str"/>
      <c r="L209" s="285" t="str"/>
      <c r="M209" s="285" t="str"/>
      <c r="N209" s="261" t="str"/>
      <c r="O209" s="261" t="str"/>
      <c r="P209" s="284">
        <f>IF(H209="已完成",1,IF(H209="待审核",0.8,IF(H209="进行中",0.5,IF(H209="已阻塞",0.25,0))))</f>
        <v/>
      </c>
      <c r="Q209" s="261" t="str"/>
    </row>
    <row r="210" ht="22" customHeight="1" s="48">
      <c r="A210" s="260" t="str"/>
      <c r="B210" s="260" t="str"/>
      <c r="C210" s="260" t="str"/>
      <c r="D210" s="260" t="str"/>
      <c r="E210" s="260" t="str"/>
      <c r="F210" s="260" t="str"/>
      <c r="G210" s="260" t="str"/>
      <c r="H210" s="302" t="str"/>
      <c r="I210" s="260" t="str"/>
      <c r="J210" s="260" t="str"/>
      <c r="K210" s="287" t="str"/>
      <c r="L210" s="287" t="str"/>
      <c r="M210" s="287" t="str"/>
      <c r="N210" s="260" t="str"/>
      <c r="O210" s="260" t="str"/>
      <c r="P210" s="286">
        <f>IF(H210="已完成",1,IF(H210="待审核",0.8,IF(H210="进行中",0.5,IF(H210="已阻塞",0.25,0))))</f>
        <v/>
      </c>
      <c r="Q210" s="260" t="str"/>
    </row>
    <row r="211" ht="22" customHeight="1" s="48">
      <c r="A211" s="261" t="str"/>
      <c r="B211" s="261" t="str"/>
      <c r="C211" s="261" t="str"/>
      <c r="D211" s="261" t="str"/>
      <c r="E211" s="261" t="str"/>
      <c r="F211" s="261" t="str"/>
      <c r="G211" s="261" t="str"/>
      <c r="H211" s="303" t="str"/>
      <c r="I211" s="261" t="str"/>
      <c r="J211" s="261" t="str"/>
      <c r="K211" s="285" t="str"/>
      <c r="L211" s="285" t="str"/>
      <c r="M211" s="285" t="str"/>
      <c r="N211" s="261" t="str"/>
      <c r="O211" s="261" t="str"/>
      <c r="P211" s="284">
        <f>IF(H211="已完成",1,IF(H211="待审核",0.8,IF(H211="进行中",0.5,IF(H211="已阻塞",0.25,0))))</f>
        <v/>
      </c>
      <c r="Q211" s="261" t="str"/>
    </row>
    <row r="212" ht="22" customHeight="1" s="48">
      <c r="A212" s="260" t="str"/>
      <c r="B212" s="260" t="str"/>
      <c r="C212" s="260" t="str"/>
      <c r="D212" s="260" t="str"/>
      <c r="E212" s="260" t="str"/>
      <c r="F212" s="260" t="str"/>
      <c r="G212" s="260" t="str"/>
      <c r="H212" s="302" t="str"/>
      <c r="I212" s="260" t="str"/>
      <c r="J212" s="260" t="str"/>
      <c r="K212" s="287" t="str"/>
      <c r="L212" s="287" t="str"/>
      <c r="M212" s="287" t="str"/>
      <c r="N212" s="260" t="str"/>
      <c r="O212" s="260" t="str"/>
      <c r="P212" s="286">
        <f>IF(H212="已完成",1,IF(H212="待审核",0.8,IF(H212="进行中",0.5,IF(H212="已阻塞",0.25,0))))</f>
        <v/>
      </c>
      <c r="Q212" s="260" t="str"/>
    </row>
    <row r="213" ht="22" customHeight="1" s="48">
      <c r="A213" s="261" t="str"/>
      <c r="B213" s="261" t="str"/>
      <c r="C213" s="261" t="str"/>
      <c r="D213" s="261" t="str"/>
      <c r="E213" s="261" t="str"/>
      <c r="F213" s="261" t="str"/>
      <c r="G213" s="261" t="str"/>
      <c r="H213" s="303" t="str"/>
      <c r="I213" s="261" t="str"/>
      <c r="J213" s="261" t="str"/>
      <c r="K213" s="285" t="str"/>
      <c r="L213" s="285" t="str"/>
      <c r="M213" s="285" t="str"/>
      <c r="N213" s="261" t="str"/>
      <c r="O213" s="261" t="str"/>
      <c r="P213" s="284">
        <f>IF(H213="已完成",1,IF(H213="待审核",0.8,IF(H213="进行中",0.5,IF(H213="已阻塞",0.25,0))))</f>
        <v/>
      </c>
      <c r="Q213" s="261" t="str"/>
    </row>
    <row r="214" ht="22" customHeight="1" s="48">
      <c r="A214" s="260" t="str"/>
      <c r="B214" s="260" t="str"/>
      <c r="C214" s="260" t="str"/>
      <c r="D214" s="260" t="str"/>
      <c r="E214" s="260" t="str"/>
      <c r="F214" s="260" t="str"/>
      <c r="G214" s="260" t="str"/>
      <c r="H214" s="302" t="str"/>
      <c r="I214" s="260" t="str"/>
      <c r="J214" s="260" t="str"/>
      <c r="K214" s="287" t="str"/>
      <c r="L214" s="287" t="str"/>
      <c r="M214" s="287" t="str"/>
      <c r="N214" s="260" t="str"/>
      <c r="O214" s="260" t="str"/>
      <c r="P214" s="286">
        <f>IF(H214="已完成",1,IF(H214="待审核",0.8,IF(H214="进行中",0.5,IF(H214="已阻塞",0.25,0))))</f>
        <v/>
      </c>
      <c r="Q214" s="260" t="str"/>
    </row>
    <row r="215" ht="22" customHeight="1" s="48">
      <c r="A215" s="261" t="str"/>
      <c r="B215" s="261" t="str"/>
      <c r="C215" s="261" t="str"/>
      <c r="D215" s="261" t="str"/>
      <c r="E215" s="261" t="str"/>
      <c r="F215" s="261" t="str"/>
      <c r="G215" s="261" t="str"/>
      <c r="H215" s="303" t="str"/>
      <c r="I215" s="261" t="str"/>
      <c r="J215" s="261" t="str"/>
      <c r="K215" s="285" t="str"/>
      <c r="L215" s="285" t="str"/>
      <c r="M215" s="285" t="str"/>
      <c r="N215" s="261" t="str"/>
      <c r="O215" s="261" t="str"/>
      <c r="P215" s="284">
        <f>IF(H215="已完成",1,IF(H215="待审核",0.8,IF(H215="进行中",0.5,IF(H215="已阻塞",0.25,0))))</f>
        <v/>
      </c>
      <c r="Q215" s="261" t="str"/>
    </row>
    <row r="216" ht="22" customHeight="1" s="48">
      <c r="A216" s="260" t="str"/>
      <c r="B216" s="260" t="str"/>
      <c r="C216" s="260" t="str"/>
      <c r="D216" s="260" t="str"/>
      <c r="E216" s="260" t="str"/>
      <c r="F216" s="260" t="str"/>
      <c r="G216" s="260" t="str"/>
      <c r="H216" s="302" t="str"/>
      <c r="I216" s="260" t="str"/>
      <c r="J216" s="260" t="str"/>
      <c r="K216" s="287" t="str"/>
      <c r="L216" s="287" t="str"/>
      <c r="M216" s="287" t="str"/>
      <c r="N216" s="260" t="str"/>
      <c r="O216" s="260" t="str"/>
      <c r="P216" s="286">
        <f>IF(H216="已完成",1,IF(H216="待审核",0.8,IF(H216="进行中",0.5,IF(H216="已阻塞",0.25,0))))</f>
        <v/>
      </c>
      <c r="Q216" s="260" t="str"/>
    </row>
    <row r="217" ht="22" customHeight="1" s="48">
      <c r="A217" s="261" t="str"/>
      <c r="B217" s="261" t="str"/>
      <c r="C217" s="261" t="str"/>
      <c r="D217" s="261" t="str"/>
      <c r="E217" s="261" t="str"/>
      <c r="F217" s="261" t="str"/>
      <c r="G217" s="261" t="str"/>
      <c r="H217" s="303" t="str"/>
      <c r="I217" s="261" t="str"/>
      <c r="J217" s="261" t="str"/>
      <c r="K217" s="285" t="str"/>
      <c r="L217" s="285" t="str"/>
      <c r="M217" s="285" t="str"/>
      <c r="N217" s="261" t="str"/>
      <c r="O217" s="261" t="str"/>
      <c r="P217" s="284">
        <f>IF(H217="已完成",1,IF(H217="待审核",0.8,IF(H217="进行中",0.5,IF(H217="已阻塞",0.25,0))))</f>
        <v/>
      </c>
      <c r="Q217" s="261" t="str"/>
    </row>
    <row r="218" ht="22" customHeight="1" s="48">
      <c r="A218" s="260" t="str"/>
      <c r="B218" s="260" t="str"/>
      <c r="C218" s="260" t="str"/>
      <c r="D218" s="260" t="str"/>
      <c r="E218" s="260" t="str"/>
      <c r="F218" s="260" t="str"/>
      <c r="G218" s="260" t="str"/>
      <c r="H218" s="302" t="str"/>
      <c r="I218" s="260" t="str"/>
      <c r="J218" s="260" t="str"/>
      <c r="K218" s="287" t="str"/>
      <c r="L218" s="287" t="str"/>
      <c r="M218" s="287" t="str"/>
      <c r="N218" s="260" t="str"/>
      <c r="O218" s="260" t="str"/>
      <c r="P218" s="286">
        <f>IF(H218="已完成",1,IF(H218="待审核",0.8,IF(H218="进行中",0.5,IF(H218="已阻塞",0.25,0))))</f>
        <v/>
      </c>
      <c r="Q218" s="260" t="str"/>
    </row>
    <row r="219" ht="22" customHeight="1" s="48">
      <c r="A219" s="261" t="str"/>
      <c r="B219" s="261" t="str"/>
      <c r="C219" s="261" t="str"/>
      <c r="D219" s="261" t="str"/>
      <c r="E219" s="261" t="str"/>
      <c r="F219" s="261" t="str"/>
      <c r="G219" s="261" t="str"/>
      <c r="H219" s="303" t="str"/>
      <c r="I219" s="261" t="str"/>
      <c r="J219" s="261" t="str"/>
      <c r="K219" s="285" t="str"/>
      <c r="L219" s="285" t="str"/>
      <c r="M219" s="285" t="str"/>
      <c r="N219" s="261" t="str"/>
      <c r="O219" s="261" t="str"/>
      <c r="P219" s="284">
        <f>IF(H219="已完成",1,IF(H219="待审核",0.8,IF(H219="进行中",0.5,IF(H219="已阻塞",0.25,0))))</f>
        <v/>
      </c>
      <c r="Q219" s="261" t="str"/>
    </row>
    <row r="220" ht="22" customHeight="1" s="48">
      <c r="A220" s="260" t="str"/>
      <c r="B220" s="260" t="str"/>
      <c r="C220" s="260" t="str"/>
      <c r="D220" s="260" t="str"/>
      <c r="E220" s="260" t="str"/>
      <c r="F220" s="260" t="str"/>
      <c r="G220" s="260" t="str"/>
      <c r="H220" s="302" t="str"/>
      <c r="I220" s="260" t="str"/>
      <c r="J220" s="260" t="str"/>
      <c r="K220" s="287" t="str"/>
      <c r="L220" s="287" t="str"/>
      <c r="M220" s="287" t="str"/>
      <c r="N220" s="260" t="str"/>
      <c r="O220" s="260" t="str"/>
      <c r="P220" s="286">
        <f>IF(H220="已完成",1,IF(H220="待审核",0.8,IF(H220="进行中",0.5,IF(H220="已阻塞",0.25,0))))</f>
        <v/>
      </c>
      <c r="Q220" s="260" t="str"/>
    </row>
    <row r="221" ht="22" customHeight="1" s="48">
      <c r="A221" s="261" t="str"/>
      <c r="B221" s="261" t="str"/>
      <c r="C221" s="261" t="str"/>
      <c r="D221" s="261" t="str"/>
      <c r="E221" s="261" t="str"/>
      <c r="F221" s="261" t="str"/>
      <c r="G221" s="261" t="str"/>
      <c r="H221" s="303" t="str"/>
      <c r="I221" s="261" t="str"/>
      <c r="J221" s="261" t="str"/>
      <c r="K221" s="285" t="str"/>
      <c r="L221" s="285" t="str"/>
      <c r="M221" s="285" t="str"/>
      <c r="N221" s="261" t="str"/>
      <c r="O221" s="261" t="str"/>
      <c r="P221" s="284">
        <f>IF(H221="已完成",1,IF(H221="待审核",0.8,IF(H221="进行中",0.5,IF(H221="已阻塞",0.25,0))))</f>
        <v/>
      </c>
      <c r="Q221" s="261" t="str"/>
    </row>
    <row r="222" ht="22" customHeight="1" s="48">
      <c r="A222" s="260" t="str"/>
      <c r="B222" s="260" t="str"/>
      <c r="C222" s="260" t="str"/>
      <c r="D222" s="260" t="str"/>
      <c r="E222" s="260" t="str"/>
      <c r="F222" s="260" t="str"/>
      <c r="G222" s="260" t="str"/>
      <c r="H222" s="302" t="str"/>
      <c r="I222" s="260" t="str"/>
      <c r="J222" s="260" t="str"/>
      <c r="K222" s="287" t="str"/>
      <c r="L222" s="287" t="str"/>
      <c r="M222" s="287" t="str"/>
      <c r="N222" s="260" t="str"/>
      <c r="O222" s="260" t="str"/>
      <c r="P222" s="286">
        <f>IF(H222="已完成",1,IF(H222="待审核",0.8,IF(H222="进行中",0.5,IF(H222="已阻塞",0.25,0))))</f>
        <v/>
      </c>
      <c r="Q222" s="260" t="str"/>
    </row>
    <row r="223" ht="22" customHeight="1" s="48">
      <c r="A223" s="261" t="str"/>
      <c r="B223" s="261" t="str"/>
      <c r="C223" s="261" t="str"/>
      <c r="D223" s="261" t="str"/>
      <c r="E223" s="261" t="str"/>
      <c r="F223" s="261" t="str"/>
      <c r="G223" s="261" t="str"/>
      <c r="H223" s="303" t="str"/>
      <c r="I223" s="261" t="str"/>
      <c r="J223" s="261" t="str"/>
      <c r="K223" s="285" t="str"/>
      <c r="L223" s="285" t="str"/>
      <c r="M223" s="285" t="str"/>
      <c r="N223" s="261" t="str"/>
      <c r="O223" s="261" t="str"/>
      <c r="P223" s="284">
        <f>IF(H223="已完成",1,IF(H223="待审核",0.8,IF(H223="进行中",0.5,IF(H223="已阻塞",0.25,0))))</f>
        <v/>
      </c>
      <c r="Q223" s="261" t="str"/>
    </row>
    <row r="224" ht="22" customHeight="1" s="48">
      <c r="A224" s="260" t="str"/>
      <c r="B224" s="260" t="str"/>
      <c r="C224" s="260" t="str"/>
      <c r="D224" s="260" t="str"/>
      <c r="E224" s="260" t="str"/>
      <c r="F224" s="260" t="str"/>
      <c r="G224" s="260" t="str"/>
      <c r="H224" s="302" t="str"/>
      <c r="I224" s="260" t="str"/>
      <c r="J224" s="260" t="str"/>
      <c r="K224" s="287" t="str"/>
      <c r="L224" s="287" t="str"/>
      <c r="M224" s="287" t="str"/>
      <c r="N224" s="260" t="str"/>
      <c r="O224" s="260" t="str"/>
      <c r="P224" s="286">
        <f>IF(H224="已完成",1,IF(H224="待审核",0.8,IF(H224="进行中",0.5,IF(H224="已阻塞",0.25,0))))</f>
        <v/>
      </c>
      <c r="Q224" s="260" t="str"/>
    </row>
    <row r="225" ht="22" customHeight="1" s="48">
      <c r="A225" s="261" t="str"/>
      <c r="B225" s="261" t="str"/>
      <c r="C225" s="261" t="str"/>
      <c r="D225" s="261" t="str"/>
      <c r="E225" s="261" t="str"/>
      <c r="F225" s="261" t="str"/>
      <c r="G225" s="261" t="str"/>
      <c r="H225" s="303" t="str"/>
      <c r="I225" s="261" t="str"/>
      <c r="J225" s="261" t="str"/>
      <c r="K225" s="285" t="str"/>
      <c r="L225" s="285" t="str"/>
      <c r="M225" s="285" t="str"/>
      <c r="N225" s="261" t="str"/>
      <c r="O225" s="261" t="str"/>
      <c r="P225" s="284">
        <f>IF(H225="已完成",1,IF(H225="待审核",0.8,IF(H225="进行中",0.5,IF(H225="已阻塞",0.25,0))))</f>
        <v/>
      </c>
      <c r="Q225" s="261" t="str"/>
    </row>
    <row r="226" ht="22" customHeight="1" s="48">
      <c r="A226" s="260" t="str"/>
      <c r="B226" s="260" t="str"/>
      <c r="C226" s="260" t="str"/>
      <c r="D226" s="260" t="str"/>
      <c r="E226" s="260" t="str"/>
      <c r="F226" s="260" t="str"/>
      <c r="G226" s="260" t="str"/>
      <c r="H226" s="302" t="str"/>
      <c r="I226" s="260" t="str"/>
      <c r="J226" s="260" t="str"/>
      <c r="K226" s="287" t="str"/>
      <c r="L226" s="287" t="str"/>
      <c r="M226" s="287" t="str"/>
      <c r="N226" s="260" t="str"/>
      <c r="O226" s="260" t="str"/>
      <c r="P226" s="286">
        <f>IF(H226="已完成",1,IF(H226="待审核",0.8,IF(H226="进行中",0.5,IF(H226="已阻塞",0.25,0))))</f>
        <v/>
      </c>
      <c r="Q226" s="260" t="str"/>
    </row>
    <row r="227" ht="22" customHeight="1" s="48">
      <c r="A227" s="261" t="str"/>
      <c r="B227" s="261" t="str"/>
      <c r="C227" s="261" t="str"/>
      <c r="D227" s="261" t="str"/>
      <c r="E227" s="261" t="str"/>
      <c r="F227" s="261" t="str"/>
      <c r="G227" s="261" t="str"/>
      <c r="H227" s="303" t="str"/>
      <c r="I227" s="261" t="str"/>
      <c r="J227" s="261" t="str"/>
      <c r="K227" s="285" t="str"/>
      <c r="L227" s="285" t="str"/>
      <c r="M227" s="285" t="str"/>
      <c r="N227" s="261" t="str"/>
      <c r="O227" s="261" t="str"/>
      <c r="P227" s="284">
        <f>IF(H227="已完成",1,IF(H227="待审核",0.8,IF(H227="进行中",0.5,IF(H227="已阻塞",0.25,0))))</f>
        <v/>
      </c>
      <c r="Q227" s="261" t="str"/>
    </row>
    <row r="228" ht="22" customHeight="1" s="48">
      <c r="A228" s="260" t="str"/>
      <c r="B228" s="260" t="str"/>
      <c r="C228" s="260" t="str"/>
      <c r="D228" s="260" t="str"/>
      <c r="E228" s="260" t="str"/>
      <c r="F228" s="260" t="str"/>
      <c r="G228" s="260" t="str"/>
      <c r="H228" s="302" t="str"/>
      <c r="I228" s="260" t="str"/>
      <c r="J228" s="260" t="str"/>
      <c r="K228" s="287" t="str"/>
      <c r="L228" s="287" t="str"/>
      <c r="M228" s="287" t="str"/>
      <c r="N228" s="260" t="str"/>
      <c r="O228" s="260" t="str"/>
      <c r="P228" s="286">
        <f>IF(H228="已完成",1,IF(H228="待审核",0.8,IF(H228="进行中",0.5,IF(H228="已阻塞",0.25,0))))</f>
        <v/>
      </c>
      <c r="Q228" s="260" t="str"/>
    </row>
    <row r="229" ht="22" customHeight="1" s="48">
      <c r="A229" s="261" t="str"/>
      <c r="B229" s="261" t="str"/>
      <c r="C229" s="261" t="str"/>
      <c r="D229" s="261" t="str"/>
      <c r="E229" s="261" t="str"/>
      <c r="F229" s="261" t="str"/>
      <c r="G229" s="261" t="str"/>
      <c r="H229" s="303" t="str"/>
      <c r="I229" s="261" t="str"/>
      <c r="J229" s="261" t="str"/>
      <c r="K229" s="285" t="str"/>
      <c r="L229" s="285" t="str"/>
      <c r="M229" s="285" t="str"/>
      <c r="N229" s="261" t="str"/>
      <c r="O229" s="261" t="str"/>
      <c r="P229" s="284">
        <f>IF(H229="已完成",1,IF(H229="待审核",0.8,IF(H229="进行中",0.5,IF(H229="已阻塞",0.25,0))))</f>
        <v/>
      </c>
      <c r="Q229" s="261" t="str"/>
    </row>
    <row r="230" ht="22" customHeight="1" s="48">
      <c r="A230" s="260" t="str"/>
      <c r="B230" s="260" t="str"/>
      <c r="C230" s="260" t="str"/>
      <c r="D230" s="260" t="str"/>
      <c r="E230" s="260" t="str"/>
      <c r="F230" s="260" t="str"/>
      <c r="G230" s="260" t="str"/>
      <c r="H230" s="302" t="str"/>
      <c r="I230" s="260" t="str"/>
      <c r="J230" s="260" t="str"/>
      <c r="K230" s="287" t="str"/>
      <c r="L230" s="287" t="str"/>
      <c r="M230" s="287" t="str"/>
      <c r="N230" s="260" t="str"/>
      <c r="O230" s="260" t="str"/>
      <c r="P230" s="286">
        <f>IF(H230="已完成",1,IF(H230="待审核",0.8,IF(H230="进行中",0.5,IF(H230="已阻塞",0.25,0))))</f>
        <v/>
      </c>
      <c r="Q230" s="260" t="str"/>
    </row>
    <row r="231" ht="22" customHeight="1" s="48">
      <c r="A231" s="261" t="str"/>
      <c r="B231" s="261" t="str"/>
      <c r="C231" s="261" t="str"/>
      <c r="D231" s="261" t="str"/>
      <c r="E231" s="261" t="str"/>
      <c r="F231" s="261" t="str"/>
      <c r="G231" s="261" t="str"/>
      <c r="H231" s="303" t="str"/>
      <c r="I231" s="261" t="str"/>
      <c r="J231" s="261" t="str"/>
      <c r="K231" s="285" t="str"/>
      <c r="L231" s="285" t="str"/>
      <c r="M231" s="285" t="str"/>
      <c r="N231" s="261" t="str"/>
      <c r="O231" s="261" t="str"/>
      <c r="P231" s="284">
        <f>IF(H231="已完成",1,IF(H231="待审核",0.8,IF(H231="进行中",0.5,IF(H231="已阻塞",0.25,0))))</f>
        <v/>
      </c>
      <c r="Q231" s="261" t="str"/>
    </row>
    <row r="232" ht="22" customHeight="1" s="48">
      <c r="A232" s="260" t="str"/>
      <c r="B232" s="260" t="str"/>
      <c r="C232" s="260" t="str"/>
      <c r="D232" s="260" t="str"/>
      <c r="E232" s="260" t="str"/>
      <c r="F232" s="260" t="str"/>
      <c r="G232" s="260" t="str"/>
      <c r="H232" s="302" t="str"/>
      <c r="I232" s="260" t="str"/>
      <c r="J232" s="260" t="str"/>
      <c r="K232" s="287" t="str"/>
      <c r="L232" s="287" t="str"/>
      <c r="M232" s="287" t="str"/>
      <c r="N232" s="260" t="str"/>
      <c r="O232" s="260" t="str"/>
      <c r="P232" s="286">
        <f>IF(H232="已完成",1,IF(H232="待审核",0.8,IF(H232="进行中",0.5,IF(H232="已阻塞",0.25,0))))</f>
        <v/>
      </c>
      <c r="Q232" s="260" t="str"/>
    </row>
    <row r="233" ht="22" customHeight="1" s="48">
      <c r="A233" s="261" t="str"/>
      <c r="B233" s="261" t="str"/>
      <c r="C233" s="261" t="str"/>
      <c r="D233" s="261" t="str"/>
      <c r="E233" s="261" t="str"/>
      <c r="F233" s="261" t="str"/>
      <c r="G233" s="261" t="str"/>
      <c r="H233" s="303" t="str"/>
      <c r="I233" s="261" t="str"/>
      <c r="J233" s="261" t="str"/>
      <c r="K233" s="285" t="str"/>
      <c r="L233" s="285" t="str"/>
      <c r="M233" s="285" t="str"/>
      <c r="N233" s="261" t="str"/>
      <c r="O233" s="261" t="str"/>
      <c r="P233" s="284">
        <f>IF(H233="已完成",1,IF(H233="待审核",0.8,IF(H233="进行中",0.5,IF(H233="已阻塞",0.25,0))))</f>
        <v/>
      </c>
      <c r="Q233" s="261" t="str"/>
    </row>
    <row r="234" ht="22" customHeight="1" s="48">
      <c r="A234" s="260" t="str"/>
      <c r="B234" s="260" t="str"/>
      <c r="C234" s="260" t="str"/>
      <c r="D234" s="260" t="str"/>
      <c r="E234" s="260" t="str"/>
      <c r="F234" s="260" t="str"/>
      <c r="G234" s="260" t="str"/>
      <c r="H234" s="302" t="str"/>
      <c r="I234" s="260" t="str"/>
      <c r="J234" s="260" t="str"/>
      <c r="K234" s="287" t="str"/>
      <c r="L234" s="287" t="str"/>
      <c r="M234" s="287" t="str"/>
      <c r="N234" s="260" t="str"/>
      <c r="O234" s="260" t="str"/>
      <c r="P234" s="286">
        <f>IF(H234="已完成",1,IF(H234="待审核",0.8,IF(H234="进行中",0.5,IF(H234="已阻塞",0.25,0))))</f>
        <v/>
      </c>
      <c r="Q234" s="260" t="str"/>
    </row>
    <row r="235" ht="22" customHeight="1" s="48">
      <c r="A235" s="261" t="str"/>
      <c r="B235" s="261" t="str"/>
      <c r="C235" s="261" t="str"/>
      <c r="D235" s="261" t="str"/>
      <c r="E235" s="261" t="str"/>
      <c r="F235" s="261" t="str"/>
      <c r="G235" s="261" t="str"/>
      <c r="H235" s="303" t="str"/>
      <c r="I235" s="261" t="str"/>
      <c r="J235" s="261" t="str"/>
      <c r="K235" s="285" t="str"/>
      <c r="L235" s="285" t="str"/>
      <c r="M235" s="285" t="str"/>
      <c r="N235" s="261" t="str"/>
      <c r="O235" s="261" t="str"/>
      <c r="P235" s="284">
        <f>IF(H235="已完成",1,IF(H235="待审核",0.8,IF(H235="进行中",0.5,IF(H235="已阻塞",0.25,0))))</f>
        <v/>
      </c>
      <c r="Q235" s="261" t="str"/>
    </row>
    <row r="236" ht="22" customHeight="1" s="48">
      <c r="A236" s="260" t="str"/>
      <c r="B236" s="260" t="str"/>
      <c r="C236" s="260" t="str"/>
      <c r="D236" s="260" t="str"/>
      <c r="E236" s="260" t="str"/>
      <c r="F236" s="260" t="str"/>
      <c r="G236" s="260" t="str"/>
      <c r="H236" s="302" t="str"/>
      <c r="I236" s="260" t="str"/>
      <c r="J236" s="260" t="str"/>
      <c r="K236" s="287" t="str"/>
      <c r="L236" s="287" t="str"/>
      <c r="M236" s="287" t="str"/>
      <c r="N236" s="260" t="str"/>
      <c r="O236" s="260" t="str"/>
      <c r="P236" s="286">
        <f>IF(H236="已完成",1,IF(H236="待审核",0.8,IF(H236="进行中",0.5,IF(H236="已阻塞",0.25,0))))</f>
        <v/>
      </c>
      <c r="Q236" s="260" t="str"/>
    </row>
    <row r="237" ht="22" customHeight="1" s="48">
      <c r="A237" s="261" t="str"/>
      <c r="B237" s="261" t="str"/>
      <c r="C237" s="261" t="str"/>
      <c r="D237" s="261" t="str"/>
      <c r="E237" s="261" t="str"/>
      <c r="F237" s="261" t="str"/>
      <c r="G237" s="261" t="str"/>
      <c r="H237" s="303" t="str"/>
      <c r="I237" s="261" t="str"/>
      <c r="J237" s="261" t="str"/>
      <c r="K237" s="285" t="str"/>
      <c r="L237" s="285" t="str"/>
      <c r="M237" s="285" t="str"/>
      <c r="N237" s="261" t="str"/>
      <c r="O237" s="261" t="str"/>
      <c r="P237" s="284">
        <f>IF(H237="已完成",1,IF(H237="待审核",0.8,IF(H237="进行中",0.5,IF(H237="已阻塞",0.25,0))))</f>
        <v/>
      </c>
      <c r="Q237" s="261" t="str"/>
    </row>
    <row r="238" ht="22" customHeight="1" s="48">
      <c r="A238" s="260" t="str"/>
      <c r="B238" s="260" t="str"/>
      <c r="C238" s="260" t="str"/>
      <c r="D238" s="260" t="str"/>
      <c r="E238" s="260" t="str"/>
      <c r="F238" s="260" t="str"/>
      <c r="G238" s="260" t="str"/>
      <c r="H238" s="302" t="str"/>
      <c r="I238" s="260" t="str"/>
      <c r="J238" s="260" t="str"/>
      <c r="K238" s="287" t="str"/>
      <c r="L238" s="287" t="str"/>
      <c r="M238" s="287" t="str"/>
      <c r="N238" s="260" t="str"/>
      <c r="O238" s="260" t="str"/>
      <c r="P238" s="286">
        <f>IF(H238="已完成",1,IF(H238="待审核",0.8,IF(H238="进行中",0.5,IF(H238="已阻塞",0.25,0))))</f>
        <v/>
      </c>
      <c r="Q238" s="260" t="str"/>
    </row>
    <row r="239" ht="22" customHeight="1" s="48">
      <c r="A239" s="261" t="str"/>
      <c r="B239" s="261" t="str"/>
      <c r="C239" s="261" t="str"/>
      <c r="D239" s="261" t="str"/>
      <c r="E239" s="261" t="str"/>
      <c r="F239" s="261" t="str"/>
      <c r="G239" s="261" t="str"/>
      <c r="H239" s="303" t="str"/>
      <c r="I239" s="261" t="str"/>
      <c r="J239" s="261" t="str"/>
      <c r="K239" s="285" t="str"/>
      <c r="L239" s="285" t="str"/>
      <c r="M239" s="285" t="str"/>
      <c r="N239" s="261" t="str"/>
      <c r="O239" s="261" t="str"/>
      <c r="P239" s="284">
        <f>IF(H239="已完成",1,IF(H239="待审核",0.8,IF(H239="进行中",0.5,IF(H239="已阻塞",0.25,0))))</f>
        <v/>
      </c>
      <c r="Q239" s="261" t="str"/>
    </row>
    <row r="240" ht="22" customHeight="1" s="48">
      <c r="A240" s="260" t="str"/>
      <c r="B240" s="260" t="str"/>
      <c r="C240" s="260" t="str"/>
      <c r="D240" s="260" t="str"/>
      <c r="E240" s="260" t="str"/>
      <c r="F240" s="260" t="str"/>
      <c r="G240" s="260" t="str"/>
      <c r="H240" s="302" t="str"/>
      <c r="I240" s="260" t="str"/>
      <c r="J240" s="260" t="str"/>
      <c r="K240" s="287" t="str"/>
      <c r="L240" s="287" t="str"/>
      <c r="M240" s="287" t="str"/>
      <c r="N240" s="260" t="str"/>
      <c r="O240" s="260" t="str"/>
      <c r="P240" s="286">
        <f>IF(H240="已完成",1,IF(H240="待审核",0.8,IF(H240="进行中",0.5,IF(H240="已阻塞",0.25,0))))</f>
        <v/>
      </c>
      <c r="Q240" s="260" t="str"/>
    </row>
    <row r="241" ht="22" customHeight="1" s="48">
      <c r="A241" s="261" t="str"/>
      <c r="B241" s="261" t="str"/>
      <c r="C241" s="261" t="str"/>
      <c r="D241" s="261" t="str"/>
      <c r="E241" s="261" t="str"/>
      <c r="F241" s="261" t="str"/>
      <c r="G241" s="261" t="str"/>
      <c r="H241" s="303" t="str"/>
      <c r="I241" s="261" t="str"/>
      <c r="J241" s="261" t="str"/>
      <c r="K241" s="285" t="str"/>
      <c r="L241" s="285" t="str"/>
      <c r="M241" s="285" t="str"/>
      <c r="N241" s="261" t="str"/>
      <c r="O241" s="261" t="str"/>
      <c r="P241" s="284">
        <f>IF(H241="已完成",1,IF(H241="待审核",0.8,IF(H241="进行中",0.5,IF(H241="已阻塞",0.25,0))))</f>
        <v/>
      </c>
      <c r="Q241" s="261" t="str"/>
    </row>
    <row r="242" ht="22" customHeight="1" s="48">
      <c r="A242" s="260" t="str"/>
      <c r="B242" s="260" t="str"/>
      <c r="C242" s="260" t="str"/>
      <c r="D242" s="260" t="str"/>
      <c r="E242" s="260" t="str"/>
      <c r="F242" s="260" t="str"/>
      <c r="G242" s="260" t="str"/>
      <c r="H242" s="302" t="str"/>
      <c r="I242" s="260" t="str"/>
      <c r="J242" s="260" t="str"/>
      <c r="K242" s="287" t="str"/>
      <c r="L242" s="287" t="str"/>
      <c r="M242" s="287" t="str"/>
      <c r="N242" s="260" t="str"/>
      <c r="O242" s="260" t="str"/>
      <c r="P242" s="286">
        <f>IF(H242="已完成",1,IF(H242="待审核",0.8,IF(H242="进行中",0.5,IF(H242="已阻塞",0.25,0))))</f>
        <v/>
      </c>
      <c r="Q242" s="260" t="str"/>
    </row>
    <row r="243" ht="22" customHeight="1" s="48">
      <c r="A243" s="261" t="str"/>
      <c r="B243" s="261" t="str"/>
      <c r="C243" s="261" t="str"/>
      <c r="D243" s="261" t="str"/>
      <c r="E243" s="261" t="str"/>
      <c r="F243" s="261" t="str"/>
      <c r="G243" s="261" t="str"/>
      <c r="H243" s="303" t="str"/>
      <c r="I243" s="261" t="str"/>
      <c r="J243" s="261" t="str"/>
      <c r="K243" s="285" t="str"/>
      <c r="L243" s="285" t="str"/>
      <c r="M243" s="285" t="str"/>
      <c r="N243" s="261" t="str"/>
      <c r="O243" s="261" t="str"/>
      <c r="P243" s="284">
        <f>IF(H243="已完成",1,IF(H243="待审核",0.8,IF(H243="进行中",0.5,IF(H243="已阻塞",0.25,0))))</f>
        <v/>
      </c>
      <c r="Q243" s="261" t="str"/>
    </row>
    <row r="244" ht="22" customHeight="1" s="48">
      <c r="A244" s="260" t="str"/>
      <c r="B244" s="260" t="str"/>
      <c r="C244" s="260" t="str"/>
      <c r="D244" s="260" t="str"/>
      <c r="E244" s="260" t="str"/>
      <c r="F244" s="260" t="str"/>
      <c r="G244" s="260" t="str"/>
      <c r="H244" s="302" t="str"/>
      <c r="I244" s="260" t="str"/>
      <c r="J244" s="260" t="str"/>
      <c r="K244" s="287" t="str"/>
      <c r="L244" s="287" t="str"/>
      <c r="M244" s="287" t="str"/>
      <c r="N244" s="260" t="str"/>
      <c r="O244" s="260" t="str"/>
      <c r="P244" s="286">
        <f>IF(H244="已完成",1,IF(H244="待审核",0.8,IF(H244="进行中",0.5,IF(H244="已阻塞",0.25,0))))</f>
        <v/>
      </c>
      <c r="Q244" s="260" t="str"/>
    </row>
    <row r="245" ht="22" customHeight="1" s="48">
      <c r="A245" s="261" t="str"/>
      <c r="B245" s="261" t="str"/>
      <c r="C245" s="261" t="str"/>
      <c r="D245" s="261" t="str"/>
      <c r="E245" s="261" t="str"/>
      <c r="F245" s="261" t="str"/>
      <c r="G245" s="261" t="str"/>
      <c r="H245" s="303" t="str"/>
      <c r="I245" s="261" t="str"/>
      <c r="J245" s="261" t="str"/>
      <c r="K245" s="285" t="str"/>
      <c r="L245" s="285" t="str"/>
      <c r="M245" s="285" t="str"/>
      <c r="N245" s="261" t="str"/>
      <c r="O245" s="261" t="str"/>
      <c r="P245" s="284">
        <f>IF(H245="已完成",1,IF(H245="待审核",0.8,IF(H245="进行中",0.5,IF(H245="已阻塞",0.25,0))))</f>
        <v/>
      </c>
      <c r="Q245" s="261" t="str"/>
    </row>
    <row r="246" ht="22" customHeight="1" s="48">
      <c r="A246" s="260" t="str"/>
      <c r="B246" s="260" t="str"/>
      <c r="C246" s="260" t="str"/>
      <c r="D246" s="260" t="str"/>
      <c r="E246" s="260" t="str"/>
      <c r="F246" s="260" t="str"/>
      <c r="G246" s="260" t="str"/>
      <c r="H246" s="302" t="str"/>
      <c r="I246" s="260" t="str"/>
      <c r="J246" s="260" t="str"/>
      <c r="K246" s="287" t="str"/>
      <c r="L246" s="287" t="str"/>
      <c r="M246" s="287" t="str"/>
      <c r="N246" s="260" t="str"/>
      <c r="O246" s="260" t="str"/>
      <c r="P246" s="286">
        <f>IF(H246="已完成",1,IF(H246="待审核",0.8,IF(H246="进行中",0.5,IF(H246="已阻塞",0.25,0))))</f>
        <v/>
      </c>
      <c r="Q246" s="260" t="str"/>
    </row>
    <row r="247" ht="22" customHeight="1" s="48">
      <c r="A247" s="261" t="str"/>
      <c r="B247" s="261" t="str"/>
      <c r="C247" s="261" t="str"/>
      <c r="D247" s="261" t="str"/>
      <c r="E247" s="261" t="str"/>
      <c r="F247" s="261" t="str"/>
      <c r="G247" s="261" t="str"/>
      <c r="H247" s="303" t="str"/>
      <c r="I247" s="261" t="str"/>
      <c r="J247" s="261" t="str"/>
      <c r="K247" s="285" t="str"/>
      <c r="L247" s="285" t="str"/>
      <c r="M247" s="285" t="str"/>
      <c r="N247" s="261" t="str"/>
      <c r="O247" s="261" t="str"/>
      <c r="P247" s="284">
        <f>IF(H247="已完成",1,IF(H247="待审核",0.8,IF(H247="进行中",0.5,IF(H247="已阻塞",0.25,0))))</f>
        <v/>
      </c>
      <c r="Q247" s="261" t="str"/>
    </row>
    <row r="248" ht="22" customHeight="1" s="48">
      <c r="A248" s="260" t="str"/>
      <c r="B248" s="260" t="str"/>
      <c r="C248" s="260" t="str"/>
      <c r="D248" s="260" t="str"/>
      <c r="E248" s="260" t="str"/>
      <c r="F248" s="260" t="str"/>
      <c r="G248" s="260" t="str"/>
      <c r="H248" s="302" t="str"/>
      <c r="I248" s="260" t="str"/>
      <c r="J248" s="260" t="str"/>
      <c r="K248" s="287" t="str"/>
      <c r="L248" s="287" t="str"/>
      <c r="M248" s="287" t="str"/>
      <c r="N248" s="260" t="str"/>
      <c r="O248" s="260" t="str"/>
      <c r="P248" s="286">
        <f>IF(H248="已完成",1,IF(H248="待审核",0.8,IF(H248="进行中",0.5,IF(H248="已阻塞",0.25,0))))</f>
        <v/>
      </c>
      <c r="Q248" s="260" t="str"/>
    </row>
    <row r="249" ht="22" customHeight="1" s="48">
      <c r="A249" s="261" t="str"/>
      <c r="B249" s="261" t="str"/>
      <c r="C249" s="261" t="str"/>
      <c r="D249" s="261" t="str"/>
      <c r="E249" s="261" t="str"/>
      <c r="F249" s="261" t="str"/>
      <c r="G249" s="261" t="str"/>
      <c r="H249" s="303" t="str"/>
      <c r="I249" s="261" t="str"/>
      <c r="J249" s="261" t="str"/>
      <c r="K249" s="285" t="str"/>
      <c r="L249" s="285" t="str"/>
      <c r="M249" s="285" t="str"/>
      <c r="N249" s="261" t="str"/>
      <c r="O249" s="261" t="str"/>
      <c r="P249" s="284">
        <f>IF(H249="已完成",1,IF(H249="待审核",0.8,IF(H249="进行中",0.5,IF(H249="已阻塞",0.25,0))))</f>
        <v/>
      </c>
      <c r="Q249" s="261" t="str"/>
    </row>
    <row r="250" ht="22" customHeight="1" s="48">
      <c r="A250" s="260" t="str"/>
      <c r="B250" s="260" t="str"/>
      <c r="C250" s="260" t="str"/>
      <c r="D250" s="260" t="str"/>
      <c r="E250" s="260" t="str"/>
      <c r="F250" s="260" t="str"/>
      <c r="G250" s="260" t="str"/>
      <c r="H250" s="302" t="str"/>
      <c r="I250" s="260" t="str"/>
      <c r="J250" s="260" t="str"/>
      <c r="K250" s="287" t="str"/>
      <c r="L250" s="287" t="str"/>
      <c r="M250" s="287" t="str"/>
      <c r="N250" s="260" t="str"/>
      <c r="O250" s="260" t="str"/>
      <c r="P250" s="286">
        <f>IF(H250="已完成",1,IF(H250="待审核",0.8,IF(H250="进行中",0.5,IF(H250="已阻塞",0.25,0))))</f>
        <v/>
      </c>
      <c r="Q250" s="260" t="str"/>
    </row>
    <row r="251" ht="22" customHeight="1" s="48">
      <c r="A251" s="261" t="str"/>
      <c r="B251" s="261" t="str"/>
      <c r="C251" s="261" t="str"/>
      <c r="D251" s="261" t="str"/>
      <c r="E251" s="261" t="str"/>
      <c r="F251" s="261" t="str"/>
      <c r="G251" s="261" t="str"/>
      <c r="H251" s="303" t="str"/>
      <c r="I251" s="261" t="str"/>
      <c r="J251" s="261" t="str"/>
      <c r="K251" s="285" t="str"/>
      <c r="L251" s="285" t="str"/>
      <c r="M251" s="285" t="str"/>
      <c r="N251" s="261" t="str"/>
      <c r="O251" s="261" t="str"/>
      <c r="P251" s="284">
        <f>IF(H251="已完成",1,IF(H251="待审核",0.8,IF(H251="进行中",0.5,IF(H251="已阻塞",0.25,0))))</f>
        <v/>
      </c>
      <c r="Q251" s="261" t="str"/>
    </row>
    <row r="252" ht="22" customHeight="1" s="48">
      <c r="A252" s="260" t="str"/>
      <c r="B252" s="260" t="str"/>
      <c r="C252" s="260" t="str"/>
      <c r="D252" s="260" t="str"/>
      <c r="E252" s="260" t="str"/>
      <c r="F252" s="260" t="str"/>
      <c r="G252" s="260" t="str"/>
      <c r="H252" s="302" t="str"/>
      <c r="I252" s="260" t="str"/>
      <c r="J252" s="260" t="str"/>
      <c r="K252" s="287" t="str"/>
      <c r="L252" s="287" t="str"/>
      <c r="M252" s="287" t="str"/>
      <c r="N252" s="260" t="str"/>
      <c r="O252" s="260" t="str"/>
      <c r="P252" s="286">
        <f>IF(H252="已完成",1,IF(H252="待审核",0.8,IF(H252="进行中",0.5,IF(H252="已阻塞",0.25,0))))</f>
        <v/>
      </c>
      <c r="Q252" s="260" t="str"/>
    </row>
    <row r="253" ht="22" customHeight="1" s="48">
      <c r="A253" s="261" t="str"/>
      <c r="B253" s="261" t="str"/>
      <c r="C253" s="261" t="str"/>
      <c r="D253" s="261" t="str"/>
      <c r="E253" s="261" t="str"/>
      <c r="F253" s="261" t="str"/>
      <c r="G253" s="261" t="str"/>
      <c r="H253" s="303" t="str"/>
      <c r="I253" s="261" t="str"/>
      <c r="J253" s="261" t="str"/>
      <c r="K253" s="285" t="str"/>
      <c r="L253" s="285" t="str"/>
      <c r="M253" s="285" t="str"/>
      <c r="N253" s="261" t="str"/>
      <c r="O253" s="261" t="str"/>
      <c r="P253" s="284">
        <f>IF(H253="已完成",1,IF(H253="待审核",0.8,IF(H253="进行中",0.5,IF(H253="已阻塞",0.25,0))))</f>
        <v/>
      </c>
      <c r="Q253" s="261" t="str"/>
    </row>
    <row r="254" ht="22" customHeight="1" s="48">
      <c r="A254" s="260" t="str"/>
      <c r="B254" s="260" t="str"/>
      <c r="C254" s="260" t="str"/>
      <c r="D254" s="260" t="str"/>
      <c r="E254" s="260" t="str"/>
      <c r="F254" s="260" t="str"/>
      <c r="G254" s="260" t="str"/>
      <c r="H254" s="302" t="str"/>
      <c r="I254" s="260" t="str"/>
      <c r="J254" s="260" t="str"/>
      <c r="K254" s="287" t="str"/>
      <c r="L254" s="287" t="str"/>
      <c r="M254" s="287" t="str"/>
      <c r="N254" s="260" t="str"/>
      <c r="O254" s="260" t="str"/>
      <c r="P254" s="286">
        <f>IF(H254="已完成",1,IF(H254="待审核",0.8,IF(H254="进行中",0.5,IF(H254="已阻塞",0.25,0))))</f>
        <v/>
      </c>
      <c r="Q254" s="260" t="str"/>
    </row>
    <row r="255" ht="22" customHeight="1" s="48">
      <c r="A255" s="261" t="str"/>
      <c r="B255" s="261" t="str"/>
      <c r="C255" s="261" t="str"/>
      <c r="D255" s="261" t="str"/>
      <c r="E255" s="261" t="str"/>
      <c r="F255" s="261" t="str"/>
      <c r="G255" s="261" t="str"/>
      <c r="H255" s="303" t="str"/>
      <c r="I255" s="261" t="str"/>
      <c r="J255" s="261" t="str"/>
      <c r="K255" s="285" t="str"/>
      <c r="L255" s="285" t="str"/>
      <c r="M255" s="285" t="str"/>
      <c r="N255" s="261" t="str"/>
      <c r="O255" s="261" t="str"/>
      <c r="P255" s="284">
        <f>IF(H255="已完成",1,IF(H255="待审核",0.8,IF(H255="进行中",0.5,IF(H255="已阻塞",0.25,0))))</f>
        <v/>
      </c>
      <c r="Q255" s="261" t="str"/>
    </row>
    <row r="256" ht="22" customHeight="1" s="48">
      <c r="A256" s="260" t="str"/>
      <c r="B256" s="260" t="str"/>
      <c r="C256" s="260" t="str"/>
      <c r="D256" s="260" t="str"/>
      <c r="E256" s="260" t="str"/>
      <c r="F256" s="260" t="str"/>
      <c r="G256" s="260" t="str"/>
      <c r="H256" s="302" t="str"/>
      <c r="I256" s="260" t="str"/>
      <c r="J256" s="260" t="str"/>
      <c r="K256" s="287" t="str"/>
      <c r="L256" s="287" t="str"/>
      <c r="M256" s="287" t="str"/>
      <c r="N256" s="260" t="str"/>
      <c r="O256" s="260" t="str"/>
      <c r="P256" s="286">
        <f>IF(H256="已完成",1,IF(H256="待审核",0.8,IF(H256="进行中",0.5,IF(H256="已阻塞",0.25,0))))</f>
        <v/>
      </c>
      <c r="Q256" s="260" t="str"/>
    </row>
    <row r="257" ht="22" customHeight="1" s="48">
      <c r="A257" s="261" t="str"/>
      <c r="B257" s="261" t="str"/>
      <c r="C257" s="261" t="str"/>
      <c r="D257" s="261" t="str"/>
      <c r="E257" s="261" t="str"/>
      <c r="F257" s="261" t="str"/>
      <c r="G257" s="261" t="str"/>
      <c r="H257" s="303" t="str"/>
      <c r="I257" s="261" t="str"/>
      <c r="J257" s="261" t="str"/>
      <c r="K257" s="285" t="str"/>
      <c r="L257" s="285" t="str"/>
      <c r="M257" s="285" t="str"/>
      <c r="N257" s="261" t="str"/>
      <c r="O257" s="261" t="str"/>
      <c r="P257" s="284">
        <f>IF(H257="已完成",1,IF(H257="待审核",0.8,IF(H257="进行中",0.5,IF(H257="已阻塞",0.25,0))))</f>
        <v/>
      </c>
      <c r="Q257" s="261" t="str"/>
    </row>
    <row r="258" ht="22" customHeight="1" s="48">
      <c r="A258" s="260" t="str"/>
      <c r="B258" s="260" t="str"/>
      <c r="C258" s="260" t="str"/>
      <c r="D258" s="260" t="str"/>
      <c r="E258" s="260" t="str"/>
      <c r="F258" s="260" t="str"/>
      <c r="G258" s="260" t="str"/>
      <c r="H258" s="302" t="str"/>
      <c r="I258" s="260" t="str"/>
      <c r="J258" s="260" t="str"/>
      <c r="K258" s="287" t="str"/>
      <c r="L258" s="287" t="str"/>
      <c r="M258" s="287" t="str"/>
      <c r="N258" s="260" t="str"/>
      <c r="O258" s="260" t="str"/>
      <c r="P258" s="286">
        <f>IF(H258="已完成",1,IF(H258="待审核",0.8,IF(H258="进行中",0.5,IF(H258="已阻塞",0.25,0))))</f>
        <v/>
      </c>
      <c r="Q258" s="260" t="str"/>
    </row>
    <row r="259" ht="22" customHeight="1" s="48">
      <c r="A259" s="261" t="str"/>
      <c r="B259" s="261" t="str"/>
      <c r="C259" s="261" t="str"/>
      <c r="D259" s="261" t="str"/>
      <c r="E259" s="261" t="str"/>
      <c r="F259" s="261" t="str"/>
      <c r="G259" s="261" t="str"/>
      <c r="H259" s="303" t="str"/>
      <c r="I259" s="261" t="str"/>
      <c r="J259" s="261" t="str"/>
      <c r="K259" s="285" t="str"/>
      <c r="L259" s="285" t="str"/>
      <c r="M259" s="285" t="str"/>
      <c r="N259" s="261" t="str"/>
      <c r="O259" s="261" t="str"/>
      <c r="P259" s="284">
        <f>IF(H259="已完成",1,IF(H259="待审核",0.8,IF(H259="进行中",0.5,IF(H259="已阻塞",0.25,0))))</f>
        <v/>
      </c>
      <c r="Q259" s="261" t="str"/>
    </row>
    <row r="260" ht="22" customHeight="1" s="48">
      <c r="A260" s="260" t="str"/>
      <c r="B260" s="260" t="str"/>
      <c r="C260" s="260" t="str"/>
      <c r="D260" s="260" t="str"/>
      <c r="E260" s="260" t="str"/>
      <c r="F260" s="260" t="str"/>
      <c r="G260" s="260" t="str"/>
      <c r="H260" s="302" t="str"/>
      <c r="I260" s="260" t="str"/>
      <c r="J260" s="260" t="str"/>
      <c r="K260" s="287" t="str"/>
      <c r="L260" s="287" t="str"/>
      <c r="M260" s="287" t="str"/>
      <c r="N260" s="260" t="str"/>
      <c r="O260" s="260" t="str"/>
      <c r="P260" s="286">
        <f>IF(H260="已完成",1,IF(H260="待审核",0.8,IF(H260="进行中",0.5,IF(H260="已阻塞",0.25,0))))</f>
        <v/>
      </c>
      <c r="Q260" s="260" t="str"/>
    </row>
    <row r="261" ht="22" customHeight="1" s="48">
      <c r="A261" s="261" t="str"/>
      <c r="B261" s="261" t="str"/>
      <c r="C261" s="261" t="str"/>
      <c r="D261" s="261" t="str"/>
      <c r="E261" s="261" t="str"/>
      <c r="F261" s="261" t="str"/>
      <c r="G261" s="261" t="str"/>
      <c r="H261" s="303" t="str"/>
      <c r="I261" s="261" t="str"/>
      <c r="J261" s="261" t="str"/>
      <c r="K261" s="285" t="str"/>
      <c r="L261" s="285" t="str"/>
      <c r="M261" s="285" t="str"/>
      <c r="N261" s="261" t="str"/>
      <c r="O261" s="261" t="str"/>
      <c r="P261" s="284">
        <f>IF(H261="已完成",1,IF(H261="待审核",0.8,IF(H261="进行中",0.5,IF(H261="已阻塞",0.25,0))))</f>
        <v/>
      </c>
      <c r="Q261" s="261" t="str"/>
    </row>
    <row r="262" ht="22" customHeight="1" s="48">
      <c r="A262" s="260" t="str"/>
      <c r="B262" s="260" t="str"/>
      <c r="C262" s="260" t="str"/>
      <c r="D262" s="260" t="str"/>
      <c r="E262" s="260" t="str"/>
      <c r="F262" s="260" t="str"/>
      <c r="G262" s="260" t="str"/>
      <c r="H262" s="302" t="str"/>
      <c r="I262" s="260" t="str"/>
      <c r="J262" s="260" t="str"/>
      <c r="K262" s="287" t="str"/>
      <c r="L262" s="287" t="str"/>
      <c r="M262" s="287" t="str"/>
      <c r="N262" s="260" t="str"/>
      <c r="O262" s="260" t="str"/>
      <c r="P262" s="286">
        <f>IF(H262="已完成",1,IF(H262="待审核",0.8,IF(H262="进行中",0.5,IF(H262="已阻塞",0.25,0))))</f>
        <v/>
      </c>
      <c r="Q262" s="260" t="str"/>
    </row>
    <row r="263" ht="22" customHeight="1" s="48">
      <c r="A263" s="261" t="str"/>
      <c r="B263" s="261" t="str"/>
      <c r="C263" s="261" t="str"/>
      <c r="D263" s="261" t="str"/>
      <c r="E263" s="261" t="str"/>
      <c r="F263" s="261" t="str"/>
      <c r="G263" s="261" t="str"/>
      <c r="H263" s="303" t="str"/>
      <c r="I263" s="261" t="str"/>
      <c r="J263" s="261" t="str"/>
      <c r="K263" s="285" t="str"/>
      <c r="L263" s="285" t="str"/>
      <c r="M263" s="285" t="str"/>
      <c r="N263" s="261" t="str"/>
      <c r="O263" s="261" t="str"/>
      <c r="P263" s="284">
        <f>IF(H263="已完成",1,IF(H263="待审核",0.8,IF(H263="进行中",0.5,IF(H263="已阻塞",0.25,0))))</f>
        <v/>
      </c>
      <c r="Q263" s="261" t="str"/>
    </row>
    <row r="264" ht="22" customHeight="1" s="48">
      <c r="A264" s="260" t="str"/>
      <c r="B264" s="260" t="str"/>
      <c r="C264" s="260" t="str"/>
      <c r="D264" s="260" t="str"/>
      <c r="E264" s="260" t="str"/>
      <c r="F264" s="260" t="str"/>
      <c r="G264" s="260" t="str"/>
      <c r="H264" s="302" t="str"/>
      <c r="I264" s="260" t="str"/>
      <c r="J264" s="260" t="str"/>
      <c r="K264" s="287" t="str"/>
      <c r="L264" s="287" t="str"/>
      <c r="M264" s="287" t="str"/>
      <c r="N264" s="260" t="str"/>
      <c r="O264" s="260" t="str"/>
      <c r="P264" s="286">
        <f>IF(H264="已完成",1,IF(H264="待审核",0.8,IF(H264="进行中",0.5,IF(H264="已阻塞",0.25,0))))</f>
        <v/>
      </c>
      <c r="Q264" s="260" t="str"/>
    </row>
    <row r="265" ht="22" customHeight="1" s="48">
      <c r="A265" s="261" t="str"/>
      <c r="B265" s="261" t="str"/>
      <c r="C265" s="261" t="str"/>
      <c r="D265" s="261" t="str"/>
      <c r="E265" s="261" t="str"/>
      <c r="F265" s="261" t="str"/>
      <c r="G265" s="261" t="str"/>
      <c r="H265" s="303" t="str"/>
      <c r="I265" s="261" t="str"/>
      <c r="J265" s="261" t="str"/>
      <c r="K265" s="285" t="str"/>
      <c r="L265" s="285" t="str"/>
      <c r="M265" s="285" t="str"/>
      <c r="N265" s="261" t="str"/>
      <c r="O265" s="261" t="str"/>
      <c r="P265" s="284">
        <f>IF(H265="已完成",1,IF(H265="待审核",0.8,IF(H265="进行中",0.5,IF(H265="已阻塞",0.25,0))))</f>
        <v/>
      </c>
      <c r="Q265" s="261" t="str"/>
    </row>
    <row r="266" ht="22" customHeight="1" s="48">
      <c r="A266" s="260" t="str"/>
      <c r="B266" s="260" t="str"/>
      <c r="C266" s="260" t="str"/>
      <c r="D266" s="260" t="str"/>
      <c r="E266" s="260" t="str"/>
      <c r="F266" s="260" t="str"/>
      <c r="G266" s="260" t="str"/>
      <c r="H266" s="302" t="str"/>
      <c r="I266" s="260" t="str"/>
      <c r="J266" s="260" t="str"/>
      <c r="K266" s="287" t="str"/>
      <c r="L266" s="287" t="str"/>
      <c r="M266" s="287" t="str"/>
      <c r="N266" s="260" t="str"/>
      <c r="O266" s="260" t="str"/>
      <c r="P266" s="286">
        <f>IF(H266="已完成",1,IF(H266="待审核",0.8,IF(H266="进行中",0.5,IF(H266="已阻塞",0.25,0))))</f>
        <v/>
      </c>
      <c r="Q266" s="260" t="str"/>
    </row>
    <row r="267" ht="22" customHeight="1" s="48">
      <c r="A267" s="261" t="str"/>
      <c r="B267" s="261" t="str"/>
      <c r="C267" s="261" t="str"/>
      <c r="D267" s="261" t="str"/>
      <c r="E267" s="261" t="str"/>
      <c r="F267" s="261" t="str"/>
      <c r="G267" s="261" t="str"/>
      <c r="H267" s="303" t="str"/>
      <c r="I267" s="261" t="str"/>
      <c r="J267" s="261" t="str"/>
      <c r="K267" s="285" t="str"/>
      <c r="L267" s="285" t="str"/>
      <c r="M267" s="285" t="str"/>
      <c r="N267" s="261" t="str"/>
      <c r="O267" s="261" t="str"/>
      <c r="P267" s="284">
        <f>IF(H267="已完成",1,IF(H267="待审核",0.8,IF(H267="进行中",0.5,IF(H267="已阻塞",0.25,0))))</f>
        <v/>
      </c>
      <c r="Q267" s="261" t="str"/>
    </row>
    <row r="268" ht="22" customHeight="1" s="48">
      <c r="A268" s="260" t="str"/>
      <c r="B268" s="260" t="str"/>
      <c r="C268" s="260" t="str"/>
      <c r="D268" s="260" t="str"/>
      <c r="E268" s="260" t="str"/>
      <c r="F268" s="260" t="str"/>
      <c r="G268" s="260" t="str"/>
      <c r="H268" s="302" t="str"/>
      <c r="I268" s="260" t="str"/>
      <c r="J268" s="260" t="str"/>
      <c r="K268" s="287" t="str"/>
      <c r="L268" s="287" t="str"/>
      <c r="M268" s="287" t="str"/>
      <c r="N268" s="260" t="str"/>
      <c r="O268" s="260" t="str"/>
      <c r="P268" s="286">
        <f>IF(H268="已完成",1,IF(H268="待审核",0.8,IF(H268="进行中",0.5,IF(H268="已阻塞",0.25,0))))</f>
        <v/>
      </c>
      <c r="Q268" s="260" t="str"/>
    </row>
    <row r="269" ht="22" customHeight="1" s="48">
      <c r="A269" s="261" t="str"/>
      <c r="B269" s="261" t="str"/>
      <c r="C269" s="261" t="str"/>
      <c r="D269" s="261" t="str"/>
      <c r="E269" s="261" t="str"/>
      <c r="F269" s="261" t="str"/>
      <c r="G269" s="261" t="str"/>
      <c r="H269" s="303" t="str"/>
      <c r="I269" s="261" t="str"/>
      <c r="J269" s="261" t="str"/>
      <c r="K269" s="285" t="str"/>
      <c r="L269" s="285" t="str"/>
      <c r="M269" s="285" t="str"/>
      <c r="N269" s="261" t="str"/>
      <c r="O269" s="261" t="str"/>
      <c r="P269" s="284">
        <f>IF(H269="已完成",1,IF(H269="待审核",0.8,IF(H269="进行中",0.5,IF(H269="已阻塞",0.25,0))))</f>
        <v/>
      </c>
      <c r="Q269" s="261" t="str"/>
    </row>
    <row r="270" ht="22" customHeight="1" s="48">
      <c r="A270" s="260" t="str"/>
      <c r="B270" s="260" t="str"/>
      <c r="C270" s="260" t="str"/>
      <c r="D270" s="260" t="str"/>
      <c r="E270" s="260" t="str"/>
      <c r="F270" s="260" t="str"/>
      <c r="G270" s="260" t="str"/>
      <c r="H270" s="302" t="str"/>
      <c r="I270" s="260" t="str"/>
      <c r="J270" s="260" t="str"/>
      <c r="K270" s="287" t="str"/>
      <c r="L270" s="287" t="str"/>
      <c r="M270" s="287" t="str"/>
      <c r="N270" s="260" t="str"/>
      <c r="O270" s="260" t="str"/>
      <c r="P270" s="286">
        <f>IF(H270="已完成",1,IF(H270="待审核",0.8,IF(H270="进行中",0.5,IF(H270="已阻塞",0.25,0))))</f>
        <v/>
      </c>
      <c r="Q270" s="260" t="str"/>
    </row>
    <row r="271" ht="22" customHeight="1" s="48">
      <c r="A271" s="261" t="str"/>
      <c r="B271" s="261" t="str"/>
      <c r="C271" s="261" t="str"/>
      <c r="D271" s="261" t="str"/>
      <c r="E271" s="261" t="str"/>
      <c r="F271" s="261" t="str"/>
      <c r="G271" s="261" t="str"/>
      <c r="H271" s="303" t="str"/>
      <c r="I271" s="261" t="str"/>
      <c r="J271" s="261" t="str"/>
      <c r="K271" s="285" t="str"/>
      <c r="L271" s="285" t="str"/>
      <c r="M271" s="285" t="str"/>
      <c r="N271" s="261" t="str"/>
      <c r="O271" s="261" t="str"/>
      <c r="P271" s="284">
        <f>IF(H271="已完成",1,IF(H271="待审核",0.8,IF(H271="进行中",0.5,IF(H271="已阻塞",0.25,0))))</f>
        <v/>
      </c>
      <c r="Q271" s="261" t="str"/>
    </row>
    <row r="272" ht="22" customHeight="1" s="48">
      <c r="A272" s="260" t="str"/>
      <c r="B272" s="260" t="str"/>
      <c r="C272" s="260" t="str"/>
      <c r="D272" s="260" t="str"/>
      <c r="E272" s="260" t="str"/>
      <c r="F272" s="260" t="str"/>
      <c r="G272" s="260" t="str"/>
      <c r="H272" s="302" t="str"/>
      <c r="I272" s="260" t="str"/>
      <c r="J272" s="260" t="str"/>
      <c r="K272" s="287" t="str"/>
      <c r="L272" s="287" t="str"/>
      <c r="M272" s="287" t="str"/>
      <c r="N272" s="260" t="str"/>
      <c r="O272" s="260" t="str"/>
      <c r="P272" s="286">
        <f>IF(H272="已完成",1,IF(H272="待审核",0.8,IF(H272="进行中",0.5,IF(H272="已阻塞",0.25,0))))</f>
        <v/>
      </c>
      <c r="Q272" s="260" t="str"/>
    </row>
    <row r="273" ht="22" customHeight="1" s="48">
      <c r="A273" s="261" t="str"/>
      <c r="B273" s="261" t="str"/>
      <c r="C273" s="261" t="str"/>
      <c r="D273" s="261" t="str"/>
      <c r="E273" s="261" t="str"/>
      <c r="F273" s="261" t="str"/>
      <c r="G273" s="261" t="str"/>
      <c r="H273" s="303" t="str"/>
      <c r="I273" s="261" t="str"/>
      <c r="J273" s="261" t="str"/>
      <c r="K273" s="285" t="str"/>
      <c r="L273" s="285" t="str"/>
      <c r="M273" s="285" t="str"/>
      <c r="N273" s="261" t="str"/>
      <c r="O273" s="261" t="str"/>
      <c r="P273" s="284">
        <f>IF(H273="已完成",1,IF(H273="待审核",0.8,IF(H273="进行中",0.5,IF(H273="已阻塞",0.25,0))))</f>
        <v/>
      </c>
      <c r="Q273" s="261" t="str"/>
    </row>
    <row r="274" ht="22" customHeight="1" s="48">
      <c r="A274" s="260" t="str"/>
      <c r="B274" s="260" t="str"/>
      <c r="C274" s="260" t="str"/>
      <c r="D274" s="260" t="str"/>
      <c r="E274" s="260" t="str"/>
      <c r="F274" s="260" t="str"/>
      <c r="G274" s="260" t="str"/>
      <c r="H274" s="302" t="str"/>
      <c r="I274" s="260" t="str"/>
      <c r="J274" s="260" t="str"/>
      <c r="K274" s="287" t="str"/>
      <c r="L274" s="287" t="str"/>
      <c r="M274" s="287" t="str"/>
      <c r="N274" s="260" t="str"/>
      <c r="O274" s="260" t="str"/>
      <c r="P274" s="286">
        <f>IF(H274="已完成",1,IF(H274="待审核",0.8,IF(H274="进行中",0.5,IF(H274="已阻塞",0.25,0))))</f>
        <v/>
      </c>
      <c r="Q274" s="260" t="str"/>
    </row>
    <row r="275" ht="22" customHeight="1" s="48">
      <c r="A275" s="261" t="str"/>
      <c r="B275" s="261" t="str"/>
      <c r="C275" s="261" t="str"/>
      <c r="D275" s="261" t="str"/>
      <c r="E275" s="261" t="str"/>
      <c r="F275" s="261" t="str"/>
      <c r="G275" s="261" t="str"/>
      <c r="H275" s="303" t="str"/>
      <c r="I275" s="261" t="str"/>
      <c r="J275" s="261" t="str"/>
      <c r="K275" s="285" t="str"/>
      <c r="L275" s="285" t="str"/>
      <c r="M275" s="285" t="str"/>
      <c r="N275" s="261" t="str"/>
      <c r="O275" s="261" t="str"/>
      <c r="P275" s="284">
        <f>IF(H275="已完成",1,IF(H275="待审核",0.8,IF(H275="进行中",0.5,IF(H275="已阻塞",0.25,0))))</f>
        <v/>
      </c>
      <c r="Q275" s="261" t="str"/>
    </row>
    <row r="276" ht="22" customHeight="1" s="48">
      <c r="A276" s="260" t="str"/>
      <c r="B276" s="260" t="str"/>
      <c r="C276" s="260" t="str"/>
      <c r="D276" s="260" t="str"/>
      <c r="E276" s="260" t="str"/>
      <c r="F276" s="260" t="str"/>
      <c r="G276" s="260" t="str"/>
      <c r="H276" s="302" t="str"/>
      <c r="I276" s="260" t="str"/>
      <c r="J276" s="260" t="str"/>
      <c r="K276" s="287" t="str"/>
      <c r="L276" s="287" t="str"/>
      <c r="M276" s="287" t="str"/>
      <c r="N276" s="260" t="str"/>
      <c r="O276" s="260" t="str"/>
      <c r="P276" s="286">
        <f>IF(H276="已完成",1,IF(H276="待审核",0.8,IF(H276="进行中",0.5,IF(H276="已阻塞",0.25,0))))</f>
        <v/>
      </c>
      <c r="Q276" s="260" t="str"/>
    </row>
    <row r="277" ht="22" customHeight="1" s="48">
      <c r="A277" s="261" t="str"/>
      <c r="B277" s="261" t="str"/>
      <c r="C277" s="261" t="str"/>
      <c r="D277" s="261" t="str"/>
      <c r="E277" s="261" t="str"/>
      <c r="F277" s="261" t="str"/>
      <c r="G277" s="261" t="str"/>
      <c r="H277" s="303" t="str"/>
      <c r="I277" s="261" t="str"/>
      <c r="J277" s="261" t="str"/>
      <c r="K277" s="285" t="str"/>
      <c r="L277" s="285" t="str"/>
      <c r="M277" s="285" t="str"/>
      <c r="N277" s="261" t="str"/>
      <c r="O277" s="261" t="str"/>
      <c r="P277" s="284">
        <f>IF(H277="已完成",1,IF(H277="待审核",0.8,IF(H277="进行中",0.5,IF(H277="已阻塞",0.25,0))))</f>
        <v/>
      </c>
      <c r="Q277" s="261" t="str"/>
    </row>
    <row r="278" ht="22" customHeight="1" s="48">
      <c r="A278" s="260" t="str"/>
      <c r="B278" s="260" t="str"/>
      <c r="C278" s="260" t="str"/>
      <c r="D278" s="260" t="str"/>
      <c r="E278" s="260" t="str"/>
      <c r="F278" s="260" t="str"/>
      <c r="G278" s="260" t="str"/>
      <c r="H278" s="302" t="str"/>
      <c r="I278" s="260" t="str"/>
      <c r="J278" s="260" t="str"/>
      <c r="K278" s="287" t="str"/>
      <c r="L278" s="287" t="str"/>
      <c r="M278" s="287" t="str"/>
      <c r="N278" s="260" t="str"/>
      <c r="O278" s="260" t="str"/>
      <c r="P278" s="286">
        <f>IF(H278="已完成",1,IF(H278="待审核",0.8,IF(H278="进行中",0.5,IF(H278="已阻塞",0.25,0))))</f>
        <v/>
      </c>
      <c r="Q278" s="260" t="str"/>
    </row>
    <row r="279" ht="22" customHeight="1" s="48">
      <c r="A279" s="261" t="str"/>
      <c r="B279" s="261" t="str"/>
      <c r="C279" s="261" t="str"/>
      <c r="D279" s="261" t="str"/>
      <c r="E279" s="261" t="str"/>
      <c r="F279" s="261" t="str"/>
      <c r="G279" s="261" t="str"/>
      <c r="H279" s="303" t="str"/>
      <c r="I279" s="261" t="str"/>
      <c r="J279" s="261" t="str"/>
      <c r="K279" s="285" t="str"/>
      <c r="L279" s="285" t="str"/>
      <c r="M279" s="285" t="str"/>
      <c r="N279" s="261" t="str"/>
      <c r="O279" s="261" t="str"/>
      <c r="P279" s="284">
        <f>IF(H279="已完成",1,IF(H279="待审核",0.8,IF(H279="进行中",0.5,IF(H279="已阻塞",0.25,0))))</f>
        <v/>
      </c>
      <c r="Q279" s="261" t="str"/>
    </row>
    <row r="280" ht="22" customHeight="1" s="48">
      <c r="A280" s="260" t="str"/>
      <c r="B280" s="260" t="str"/>
      <c r="C280" s="260" t="str"/>
      <c r="D280" s="260" t="str"/>
      <c r="E280" s="260" t="str"/>
      <c r="F280" s="260" t="str"/>
      <c r="G280" s="260" t="str"/>
      <c r="H280" s="302" t="str"/>
      <c r="I280" s="260" t="str"/>
      <c r="J280" s="260" t="str"/>
      <c r="K280" s="287" t="str"/>
      <c r="L280" s="287" t="str"/>
      <c r="M280" s="287" t="str"/>
      <c r="N280" s="260" t="str"/>
      <c r="O280" s="260" t="str"/>
      <c r="P280" s="286">
        <f>IF(H280="已完成",1,IF(H280="待审核",0.8,IF(H280="进行中",0.5,IF(H280="已阻塞",0.25,0))))</f>
        <v/>
      </c>
      <c r="Q280" s="260" t="str"/>
    </row>
    <row r="281" ht="22" customHeight="1" s="48">
      <c r="A281" s="261" t="str"/>
      <c r="B281" s="261" t="str"/>
      <c r="C281" s="261" t="str"/>
      <c r="D281" s="261" t="str"/>
      <c r="E281" s="261" t="str"/>
      <c r="F281" s="261" t="str"/>
      <c r="G281" s="261" t="str"/>
      <c r="H281" s="303" t="str"/>
      <c r="I281" s="261" t="str"/>
      <c r="J281" s="261" t="str"/>
      <c r="K281" s="285" t="str"/>
      <c r="L281" s="285" t="str"/>
      <c r="M281" s="285" t="str"/>
      <c r="N281" s="261" t="str"/>
      <c r="O281" s="261" t="str"/>
      <c r="P281" s="284">
        <f>IF(H281="已完成",1,IF(H281="待审核",0.8,IF(H281="进行中",0.5,IF(H281="已阻塞",0.25,0))))</f>
        <v/>
      </c>
      <c r="Q281" s="261" t="str"/>
    </row>
    <row r="282" ht="22" customHeight="1" s="48">
      <c r="A282" s="260" t="str"/>
      <c r="B282" s="260" t="str"/>
      <c r="C282" s="260" t="str"/>
      <c r="D282" s="260" t="str"/>
      <c r="E282" s="260" t="str"/>
      <c r="F282" s="260" t="str"/>
      <c r="G282" s="260" t="str"/>
      <c r="H282" s="302" t="str"/>
      <c r="I282" s="260" t="str"/>
      <c r="J282" s="260" t="str"/>
      <c r="K282" s="287" t="str"/>
      <c r="L282" s="287" t="str"/>
      <c r="M282" s="287" t="str"/>
      <c r="N282" s="260" t="str"/>
      <c r="O282" s="260" t="str"/>
      <c r="P282" s="286">
        <f>IF(H282="已完成",1,IF(H282="待审核",0.8,IF(H282="进行中",0.5,IF(H282="已阻塞",0.25,0))))</f>
        <v/>
      </c>
      <c r="Q282" s="260" t="str"/>
    </row>
    <row r="283" ht="22" customHeight="1" s="48">
      <c r="A283" s="261" t="str"/>
      <c r="B283" s="261" t="str"/>
      <c r="C283" s="261" t="str"/>
      <c r="D283" s="261" t="str"/>
      <c r="E283" s="261" t="str"/>
      <c r="F283" s="261" t="str"/>
      <c r="G283" s="261" t="str"/>
      <c r="H283" s="303" t="str"/>
      <c r="I283" s="261" t="str"/>
      <c r="J283" s="261" t="str"/>
      <c r="K283" s="285" t="str"/>
      <c r="L283" s="285" t="str"/>
      <c r="M283" s="285" t="str"/>
      <c r="N283" s="261" t="str"/>
      <c r="O283" s="261" t="str"/>
      <c r="P283" s="284">
        <f>IF(H283="已完成",1,IF(H283="待审核",0.8,IF(H283="进行中",0.5,IF(H283="已阻塞",0.25,0))))</f>
        <v/>
      </c>
      <c r="Q283" s="261" t="str"/>
    </row>
    <row r="284" ht="22" customHeight="1" s="48">
      <c r="A284" s="260" t="str"/>
      <c r="B284" s="260" t="str"/>
      <c r="C284" s="260" t="str"/>
      <c r="D284" s="260" t="str"/>
      <c r="E284" s="260" t="str"/>
      <c r="F284" s="260" t="str"/>
      <c r="G284" s="260" t="str"/>
      <c r="H284" s="302" t="str"/>
      <c r="I284" s="260" t="str"/>
      <c r="J284" s="260" t="str"/>
      <c r="K284" s="287" t="str"/>
      <c r="L284" s="287" t="str"/>
      <c r="M284" s="287" t="str"/>
      <c r="N284" s="260" t="str"/>
      <c r="O284" s="260" t="str"/>
      <c r="P284" s="286">
        <f>IF(H284="已完成",1,IF(H284="待审核",0.8,IF(H284="进行中",0.5,IF(H284="已阻塞",0.25,0))))</f>
        <v/>
      </c>
      <c r="Q284" s="260" t="str"/>
    </row>
    <row r="285" ht="22" customHeight="1" s="48">
      <c r="A285" s="261" t="str"/>
      <c r="B285" s="261" t="str"/>
      <c r="C285" s="261" t="str"/>
      <c r="D285" s="261" t="str"/>
      <c r="E285" s="261" t="str"/>
      <c r="F285" s="261" t="str"/>
      <c r="G285" s="261" t="str"/>
      <c r="H285" s="303" t="str"/>
      <c r="I285" s="261" t="str"/>
      <c r="J285" s="261" t="str"/>
      <c r="K285" s="285" t="str"/>
      <c r="L285" s="285" t="str"/>
      <c r="M285" s="285" t="str"/>
      <c r="N285" s="261" t="str"/>
      <c r="O285" s="261" t="str"/>
      <c r="P285" s="284">
        <f>IF(H285="已完成",1,IF(H285="待审核",0.8,IF(H285="进行中",0.5,IF(H285="已阻塞",0.25,0))))</f>
        <v/>
      </c>
      <c r="Q285" s="261" t="str"/>
    </row>
    <row r="286" ht="22" customHeight="1" s="48">
      <c r="A286" s="260" t="str"/>
      <c r="B286" s="260" t="str"/>
      <c r="C286" s="260" t="str"/>
      <c r="D286" s="260" t="str"/>
      <c r="E286" s="260" t="str"/>
      <c r="F286" s="260" t="str"/>
      <c r="G286" s="260" t="str"/>
      <c r="H286" s="302" t="str"/>
      <c r="I286" s="260" t="str"/>
      <c r="J286" s="260" t="str"/>
      <c r="K286" s="287" t="str"/>
      <c r="L286" s="287" t="str"/>
      <c r="M286" s="287" t="str"/>
      <c r="N286" s="260" t="str"/>
      <c r="O286" s="260" t="str"/>
      <c r="P286" s="286">
        <f>IF(H286="已完成",1,IF(H286="待审核",0.8,IF(H286="进行中",0.5,IF(H286="已阻塞",0.25,0))))</f>
        <v/>
      </c>
      <c r="Q286" s="260" t="str"/>
    </row>
    <row r="287" ht="22" customHeight="1" s="48">
      <c r="A287" s="261" t="str"/>
      <c r="B287" s="261" t="str"/>
      <c r="C287" s="261" t="str"/>
      <c r="D287" s="261" t="str"/>
      <c r="E287" s="261" t="str"/>
      <c r="F287" s="261" t="str"/>
      <c r="G287" s="261" t="str"/>
      <c r="H287" s="303" t="str"/>
      <c r="I287" s="261" t="str"/>
      <c r="J287" s="261" t="str"/>
      <c r="K287" s="285" t="str"/>
      <c r="L287" s="285" t="str"/>
      <c r="M287" s="285" t="str"/>
      <c r="N287" s="261" t="str"/>
      <c r="O287" s="261" t="str"/>
      <c r="P287" s="284">
        <f>IF(H287="已完成",1,IF(H287="待审核",0.8,IF(H287="进行中",0.5,IF(H287="已阻塞",0.25,0))))</f>
        <v/>
      </c>
      <c r="Q287" s="261" t="str"/>
    </row>
    <row r="288" ht="22" customHeight="1" s="48">
      <c r="A288" s="260" t="str"/>
      <c r="B288" s="260" t="str"/>
      <c r="C288" s="260" t="str"/>
      <c r="D288" s="260" t="str"/>
      <c r="E288" s="260" t="str"/>
      <c r="F288" s="260" t="str"/>
      <c r="G288" s="260" t="str"/>
      <c r="H288" s="302" t="str"/>
      <c r="I288" s="260" t="str"/>
      <c r="J288" s="260" t="str"/>
      <c r="K288" s="287" t="str"/>
      <c r="L288" s="287" t="str"/>
      <c r="M288" s="287" t="str"/>
      <c r="N288" s="260" t="str"/>
      <c r="O288" s="260" t="str"/>
      <c r="P288" s="286">
        <f>IF(H288="已完成",1,IF(H288="待审核",0.8,IF(H288="进行中",0.5,IF(H288="已阻塞",0.25,0))))</f>
        <v/>
      </c>
      <c r="Q288" s="260" t="str"/>
    </row>
    <row r="289" ht="22" customHeight="1" s="48">
      <c r="A289" s="261" t="str"/>
      <c r="B289" s="261" t="str"/>
      <c r="C289" s="261" t="str"/>
      <c r="D289" s="261" t="str"/>
      <c r="E289" s="261" t="str"/>
      <c r="F289" s="261" t="str"/>
      <c r="G289" s="261" t="str"/>
      <c r="H289" s="303" t="str"/>
      <c r="I289" s="261" t="str"/>
      <c r="J289" s="261" t="str"/>
      <c r="K289" s="285" t="str"/>
      <c r="L289" s="285" t="str"/>
      <c r="M289" s="285" t="str"/>
      <c r="N289" s="261" t="str"/>
      <c r="O289" s="261" t="str"/>
      <c r="P289" s="284">
        <f>IF(H289="已完成",1,IF(H289="待审核",0.8,IF(H289="进行中",0.5,IF(H289="已阻塞",0.25,0))))</f>
        <v/>
      </c>
      <c r="Q289" s="261" t="str"/>
    </row>
    <row r="290" ht="22" customHeight="1" s="48">
      <c r="A290" s="260" t="str"/>
      <c r="B290" s="260" t="str"/>
      <c r="C290" s="260" t="str"/>
      <c r="D290" s="260" t="str"/>
      <c r="E290" s="260" t="str"/>
      <c r="F290" s="260" t="str"/>
      <c r="G290" s="260" t="str"/>
      <c r="H290" s="302" t="str"/>
      <c r="I290" s="260" t="str"/>
      <c r="J290" s="260" t="str"/>
      <c r="K290" s="287" t="str"/>
      <c r="L290" s="287" t="str"/>
      <c r="M290" s="287" t="str"/>
      <c r="N290" s="260" t="str"/>
      <c r="O290" s="260" t="str"/>
      <c r="P290" s="286">
        <f>IF(H290="已完成",1,IF(H290="待审核",0.8,IF(H290="进行中",0.5,IF(H290="已阻塞",0.25,0))))</f>
        <v/>
      </c>
      <c r="Q290" s="260" t="str"/>
    </row>
    <row r="291" ht="22" customHeight="1" s="48">
      <c r="A291" s="261" t="str"/>
      <c r="B291" s="261" t="str"/>
      <c r="C291" s="261" t="str"/>
      <c r="D291" s="261" t="str"/>
      <c r="E291" s="261" t="str"/>
      <c r="F291" s="261" t="str"/>
      <c r="G291" s="261" t="str"/>
      <c r="H291" s="303" t="str"/>
      <c r="I291" s="261" t="str"/>
      <c r="J291" s="261" t="str"/>
      <c r="K291" s="285" t="str"/>
      <c r="L291" s="285" t="str"/>
      <c r="M291" s="285" t="str"/>
      <c r="N291" s="261" t="str"/>
      <c r="O291" s="261" t="str"/>
      <c r="P291" s="284">
        <f>IF(H291="已完成",1,IF(H291="待审核",0.8,IF(H291="进行中",0.5,IF(H291="已阻塞",0.25,0))))</f>
        <v/>
      </c>
      <c r="Q291" s="261" t="str"/>
    </row>
    <row r="292" ht="22" customHeight="1" s="48">
      <c r="A292" s="260" t="str"/>
      <c r="B292" s="260" t="str"/>
      <c r="C292" s="260" t="str"/>
      <c r="D292" s="260" t="str"/>
      <c r="E292" s="260" t="str"/>
      <c r="F292" s="260" t="str"/>
      <c r="G292" s="260" t="str"/>
      <c r="H292" s="302" t="str"/>
      <c r="I292" s="260" t="str"/>
      <c r="J292" s="260" t="str"/>
      <c r="K292" s="287" t="str"/>
      <c r="L292" s="287" t="str"/>
      <c r="M292" s="287" t="str"/>
      <c r="N292" s="260" t="str"/>
      <c r="O292" s="260" t="str"/>
      <c r="P292" s="286">
        <f>IF(H292="已完成",1,IF(H292="待审核",0.8,IF(H292="进行中",0.5,IF(H292="已阻塞",0.25,0))))</f>
        <v/>
      </c>
      <c r="Q292" s="260" t="str"/>
    </row>
    <row r="293" ht="22" customHeight="1" s="48">
      <c r="A293" s="261" t="str"/>
      <c r="B293" s="261" t="str"/>
      <c r="C293" s="261" t="str"/>
      <c r="D293" s="261" t="str"/>
      <c r="E293" s="261" t="str"/>
      <c r="F293" s="261" t="str"/>
      <c r="G293" s="261" t="str"/>
      <c r="H293" s="303" t="str"/>
      <c r="I293" s="261" t="str"/>
      <c r="J293" s="261" t="str"/>
      <c r="K293" s="285" t="str"/>
      <c r="L293" s="285" t="str"/>
      <c r="M293" s="285" t="str"/>
      <c r="N293" s="261" t="str"/>
      <c r="O293" s="261" t="str"/>
      <c r="P293" s="284">
        <f>IF(H293="已完成",1,IF(H293="待审核",0.8,IF(H293="进行中",0.5,IF(H293="已阻塞",0.25,0))))</f>
        <v/>
      </c>
      <c r="Q293" s="261" t="str"/>
    </row>
    <row r="294" ht="22" customHeight="1" s="48">
      <c r="A294" s="260" t="str"/>
      <c r="B294" s="260" t="str"/>
      <c r="C294" s="260" t="str"/>
      <c r="D294" s="260" t="str"/>
      <c r="E294" s="260" t="str"/>
      <c r="F294" s="260" t="str"/>
      <c r="G294" s="260" t="str"/>
      <c r="H294" s="302" t="str"/>
      <c r="I294" s="260" t="str"/>
      <c r="J294" s="260" t="str"/>
      <c r="K294" s="287" t="str"/>
      <c r="L294" s="287" t="str"/>
      <c r="M294" s="287" t="str"/>
      <c r="N294" s="260" t="str"/>
      <c r="O294" s="260" t="str"/>
      <c r="P294" s="286">
        <f>IF(H294="已完成",1,IF(H294="待审核",0.8,IF(H294="进行中",0.5,IF(H294="已阻塞",0.25,0))))</f>
        <v/>
      </c>
      <c r="Q294" s="260" t="str"/>
    </row>
    <row r="295" ht="22" customHeight="1" s="48">
      <c r="A295" s="261" t="str"/>
      <c r="B295" s="261" t="str"/>
      <c r="C295" s="261" t="str"/>
      <c r="D295" s="261" t="str"/>
      <c r="E295" s="261" t="str"/>
      <c r="F295" s="261" t="str"/>
      <c r="G295" s="261" t="str"/>
      <c r="H295" s="303" t="str"/>
      <c r="I295" s="261" t="str"/>
      <c r="J295" s="261" t="str"/>
      <c r="K295" s="285" t="str"/>
      <c r="L295" s="285" t="str"/>
      <c r="M295" s="285" t="str"/>
      <c r="N295" s="261" t="str"/>
      <c r="O295" s="261" t="str"/>
      <c r="P295" s="284">
        <f>IF(H295="已完成",1,IF(H295="待审核",0.8,IF(H295="进行中",0.5,IF(H295="已阻塞",0.25,0))))</f>
        <v/>
      </c>
      <c r="Q295" s="261" t="str"/>
    </row>
    <row r="296" ht="22" customHeight="1" s="48">
      <c r="A296" s="260" t="str"/>
      <c r="B296" s="260" t="str"/>
      <c r="C296" s="260" t="str"/>
      <c r="D296" s="260" t="str"/>
      <c r="E296" s="260" t="str"/>
      <c r="F296" s="260" t="str"/>
      <c r="G296" s="260" t="str"/>
      <c r="H296" s="302" t="str"/>
      <c r="I296" s="260" t="str"/>
      <c r="J296" s="260" t="str"/>
      <c r="K296" s="287" t="str"/>
      <c r="L296" s="287" t="str"/>
      <c r="M296" s="287" t="str"/>
      <c r="N296" s="260" t="str"/>
      <c r="O296" s="260" t="str"/>
      <c r="P296" s="286">
        <f>IF(H296="已完成",1,IF(H296="待审核",0.8,IF(H296="进行中",0.5,IF(H296="已阻塞",0.25,0))))</f>
        <v/>
      </c>
      <c r="Q296" s="260" t="str"/>
    </row>
    <row r="297" ht="22" customHeight="1" s="48">
      <c r="A297" s="261" t="str"/>
      <c r="B297" s="261" t="str"/>
      <c r="C297" s="261" t="str"/>
      <c r="D297" s="261" t="str"/>
      <c r="E297" s="261" t="str"/>
      <c r="F297" s="261" t="str"/>
      <c r="G297" s="261" t="str"/>
      <c r="H297" s="303" t="str"/>
      <c r="I297" s="261" t="str"/>
      <c r="J297" s="261" t="str"/>
      <c r="K297" s="285" t="str"/>
      <c r="L297" s="285" t="str"/>
      <c r="M297" s="285" t="str"/>
      <c r="N297" s="261" t="str"/>
      <c r="O297" s="261" t="str"/>
      <c r="P297" s="284">
        <f>IF(H297="已完成",1,IF(H297="待审核",0.8,IF(H297="进行中",0.5,IF(H297="已阻塞",0.25,0))))</f>
        <v/>
      </c>
      <c r="Q297" s="261" t="str"/>
    </row>
    <row r="298" ht="22" customHeight="1" s="48">
      <c r="A298" s="260" t="str"/>
      <c r="B298" s="260" t="str"/>
      <c r="C298" s="260" t="str"/>
      <c r="D298" s="260" t="str"/>
      <c r="E298" s="260" t="str"/>
      <c r="F298" s="260" t="str"/>
      <c r="G298" s="260" t="str"/>
      <c r="H298" s="302" t="str"/>
      <c r="I298" s="260" t="str"/>
      <c r="J298" s="260" t="str"/>
      <c r="K298" s="287" t="str"/>
      <c r="L298" s="287" t="str"/>
      <c r="M298" s="287" t="str"/>
      <c r="N298" s="260" t="str"/>
      <c r="O298" s="260" t="str"/>
      <c r="P298" s="286">
        <f>IF(H298="已完成",1,IF(H298="待审核",0.8,IF(H298="进行中",0.5,IF(H298="已阻塞",0.25,0))))</f>
        <v/>
      </c>
      <c r="Q298" s="260" t="str"/>
    </row>
    <row r="299" ht="22" customHeight="1" s="48">
      <c r="A299" s="261" t="str"/>
      <c r="B299" s="261" t="str"/>
      <c r="C299" s="261" t="str"/>
      <c r="D299" s="261" t="str"/>
      <c r="E299" s="261" t="str"/>
      <c r="F299" s="261" t="str"/>
      <c r="G299" s="261" t="str"/>
      <c r="H299" s="303" t="str"/>
      <c r="I299" s="261" t="str"/>
      <c r="J299" s="261" t="str"/>
      <c r="K299" s="285" t="str"/>
      <c r="L299" s="285" t="str"/>
      <c r="M299" s="285" t="str"/>
      <c r="N299" s="261" t="str"/>
      <c r="O299" s="261" t="str"/>
      <c r="P299" s="284">
        <f>IF(H299="已完成",1,IF(H299="待审核",0.8,IF(H299="进行中",0.5,IF(H299="已阻塞",0.25,0))))</f>
        <v/>
      </c>
      <c r="Q299" s="261" t="str"/>
    </row>
    <row r="300" ht="22" customHeight="1" s="48">
      <c r="A300" s="260" t="str"/>
      <c r="B300" s="260" t="str"/>
      <c r="C300" s="260" t="str"/>
      <c r="D300" s="260" t="str"/>
      <c r="E300" s="260" t="str"/>
      <c r="F300" s="260" t="str"/>
      <c r="G300" s="260" t="str"/>
      <c r="H300" s="302" t="str"/>
      <c r="I300" s="260" t="str"/>
      <c r="J300" s="260" t="str"/>
      <c r="K300" s="287" t="str"/>
      <c r="L300" s="287" t="str"/>
      <c r="M300" s="287" t="str"/>
      <c r="N300" s="260" t="str"/>
      <c r="O300" s="260" t="str"/>
      <c r="P300" s="286">
        <f>IF(H300="已完成",1,IF(H300="待审核",0.8,IF(H300="进行中",0.5,IF(H300="已阻塞",0.25,0))))</f>
        <v/>
      </c>
      <c r="Q300" s="260" t="str"/>
    </row>
    <row r="301" ht="22" customHeight="1" s="48">
      <c r="A301" s="261" t="str"/>
      <c r="B301" s="261" t="str"/>
      <c r="C301" s="261" t="str"/>
      <c r="D301" s="261" t="str"/>
      <c r="E301" s="261" t="str"/>
      <c r="F301" s="261" t="str"/>
      <c r="G301" s="261" t="str"/>
      <c r="H301" s="303" t="str"/>
      <c r="I301" s="261" t="str"/>
      <c r="J301" s="261" t="str"/>
      <c r="K301" s="285" t="str"/>
      <c r="L301" s="285" t="str"/>
      <c r="M301" s="285" t="str"/>
      <c r="N301" s="261" t="str"/>
      <c r="O301" s="261" t="str"/>
      <c r="P301" s="284">
        <f>IF(H301="已完成",1,IF(H301="待审核",0.8,IF(H301="进行中",0.5,IF(H301="已阻塞",0.25,0))))</f>
        <v/>
      </c>
      <c r="Q301" s="261" t="str"/>
    </row>
    <row r="302" ht="22" customHeight="1" s="48">
      <c r="A302" s="260" t="str"/>
      <c r="B302" s="260" t="str"/>
      <c r="C302" s="260" t="str"/>
      <c r="D302" s="260" t="str"/>
      <c r="E302" s="260" t="str"/>
      <c r="F302" s="260" t="str"/>
      <c r="G302" s="260" t="str"/>
      <c r="H302" s="302" t="str"/>
      <c r="I302" s="260" t="str"/>
      <c r="J302" s="260" t="str"/>
      <c r="K302" s="287" t="str"/>
      <c r="L302" s="287" t="str"/>
      <c r="M302" s="287" t="str"/>
      <c r="N302" s="260" t="str"/>
      <c r="O302" s="260" t="str"/>
      <c r="P302" s="286">
        <f>IF(H302="已完成",1,IF(H302="待审核",0.8,IF(H302="进行中",0.5,IF(H302="已阻塞",0.25,0))))</f>
        <v/>
      </c>
      <c r="Q302" s="260" t="str"/>
    </row>
    <row r="303" ht="22" customHeight="1" s="48">
      <c r="A303" s="261" t="str"/>
      <c r="B303" s="261" t="str"/>
      <c r="C303" s="261" t="str"/>
      <c r="D303" s="261" t="str"/>
      <c r="E303" s="261" t="str"/>
      <c r="F303" s="261" t="str"/>
      <c r="G303" s="261" t="str"/>
      <c r="H303" s="303" t="str"/>
      <c r="I303" s="261" t="str"/>
      <c r="J303" s="261" t="str"/>
      <c r="K303" s="285" t="str"/>
      <c r="L303" s="285" t="str"/>
      <c r="M303" s="285" t="str"/>
      <c r="N303" s="261" t="str"/>
      <c r="O303" s="261" t="str"/>
      <c r="P303" s="284">
        <f>IF(H303="已完成",1,IF(H303="待审核",0.8,IF(H303="进行中",0.5,IF(H303="已阻塞",0.25,0))))</f>
        <v/>
      </c>
      <c r="Q303" s="261" t="str"/>
    </row>
    <row r="304" ht="22" customHeight="1" s="48">
      <c r="A304" s="260" t="str"/>
      <c r="B304" s="260" t="str"/>
      <c r="C304" s="260" t="str"/>
      <c r="D304" s="260" t="str"/>
      <c r="E304" s="260" t="str"/>
      <c r="F304" s="260" t="str"/>
      <c r="G304" s="260" t="str"/>
      <c r="H304" s="302" t="str"/>
      <c r="I304" s="260" t="str"/>
      <c r="J304" s="260" t="str"/>
      <c r="K304" s="287" t="str"/>
      <c r="L304" s="287" t="str"/>
      <c r="M304" s="287" t="str"/>
      <c r="N304" s="260" t="str"/>
      <c r="O304" s="260" t="str"/>
      <c r="P304" s="286">
        <f>IF(H304="已完成",1,IF(H304="待审核",0.8,IF(H304="进行中",0.5,IF(H304="已阻塞",0.25,0))))</f>
        <v/>
      </c>
      <c r="Q304" s="260" t="str"/>
    </row>
    <row r="305" ht="22" customHeight="1" s="48">
      <c r="A305" s="261" t="str"/>
      <c r="B305" s="261" t="str"/>
      <c r="C305" s="261" t="str"/>
      <c r="D305" s="261" t="str"/>
      <c r="E305" s="261" t="str"/>
      <c r="F305" s="261" t="str"/>
      <c r="G305" s="261" t="str"/>
      <c r="H305" s="303" t="str"/>
      <c r="I305" s="261" t="str"/>
      <c r="J305" s="261" t="str"/>
      <c r="K305" s="285" t="str"/>
      <c r="L305" s="285" t="str"/>
      <c r="M305" s="285" t="str"/>
      <c r="N305" s="261" t="str"/>
      <c r="O305" s="261" t="str"/>
      <c r="P305" s="284">
        <f>IF(H305="已完成",1,IF(H305="待审核",0.8,IF(H305="进行中",0.5,IF(H305="已阻塞",0.25,0))))</f>
        <v/>
      </c>
      <c r="Q305" s="261" t="str"/>
    </row>
    <row r="306" ht="22" customHeight="1" s="48">
      <c r="A306" s="260" t="str"/>
      <c r="B306" s="260" t="str"/>
      <c r="C306" s="260" t="str"/>
      <c r="D306" s="260" t="str"/>
      <c r="E306" s="260" t="str"/>
      <c r="F306" s="260" t="str"/>
      <c r="G306" s="260" t="str"/>
      <c r="H306" s="302" t="str"/>
      <c r="I306" s="260" t="str"/>
      <c r="J306" s="260" t="str"/>
      <c r="K306" s="287" t="str"/>
      <c r="L306" s="287" t="str"/>
      <c r="M306" s="287" t="str"/>
      <c r="N306" s="260" t="str"/>
      <c r="O306" s="260" t="str"/>
      <c r="P306" s="286">
        <f>IF(H306="已完成",1,IF(H306="待审核",0.8,IF(H306="进行中",0.5,IF(H306="已阻塞",0.25,0))))</f>
        <v/>
      </c>
      <c r="Q306" s="260" t="str"/>
    </row>
    <row r="307" ht="22" customHeight="1" s="48">
      <c r="A307" s="261" t="str"/>
      <c r="B307" s="261" t="str"/>
      <c r="C307" s="261" t="str"/>
      <c r="D307" s="261" t="str"/>
      <c r="E307" s="261" t="str"/>
      <c r="F307" s="261" t="str"/>
      <c r="G307" s="261" t="str"/>
      <c r="H307" s="303" t="str"/>
      <c r="I307" s="261" t="str"/>
      <c r="J307" s="261" t="str"/>
      <c r="K307" s="285" t="str"/>
      <c r="L307" s="285" t="str"/>
      <c r="M307" s="285" t="str"/>
      <c r="N307" s="261" t="str"/>
      <c r="O307" s="261" t="str"/>
      <c r="P307" s="284">
        <f>IF(H307="已完成",1,IF(H307="待审核",0.8,IF(H307="进行中",0.5,IF(H307="已阻塞",0.25,0))))</f>
        <v/>
      </c>
      <c r="Q307" s="261" t="str"/>
    </row>
    <row r="308" ht="22" customHeight="1" s="48">
      <c r="A308" s="260" t="str"/>
      <c r="B308" s="260" t="str"/>
      <c r="C308" s="260" t="str"/>
      <c r="D308" s="260" t="str"/>
      <c r="E308" s="260" t="str"/>
      <c r="F308" s="260" t="str"/>
      <c r="G308" s="260" t="str"/>
      <c r="H308" s="302" t="str"/>
      <c r="I308" s="260" t="str"/>
      <c r="J308" s="260" t="str"/>
      <c r="K308" s="287" t="str"/>
      <c r="L308" s="287" t="str"/>
      <c r="M308" s="287" t="str"/>
      <c r="N308" s="260" t="str"/>
      <c r="O308" s="260" t="str"/>
      <c r="P308" s="286">
        <f>IF(H308="已完成",1,IF(H308="待审核",0.8,IF(H308="进行中",0.5,IF(H308="已阻塞",0.25,0))))</f>
        <v/>
      </c>
      <c r="Q308" s="260" t="str"/>
    </row>
    <row r="309" ht="22" customHeight="1" s="48">
      <c r="A309" s="261" t="str"/>
      <c r="B309" s="261" t="str"/>
      <c r="C309" s="261" t="str"/>
      <c r="D309" s="261" t="str"/>
      <c r="E309" s="261" t="str"/>
      <c r="F309" s="261" t="str"/>
      <c r="G309" s="261" t="str"/>
      <c r="H309" s="303" t="str"/>
      <c r="I309" s="261" t="str"/>
      <c r="J309" s="261" t="str"/>
      <c r="K309" s="285" t="str"/>
      <c r="L309" s="285" t="str"/>
      <c r="M309" s="285" t="str"/>
      <c r="N309" s="261" t="str"/>
      <c r="O309" s="261" t="str"/>
      <c r="P309" s="284">
        <f>IF(H309="已完成",1,IF(H309="待审核",0.8,IF(H309="进行中",0.5,IF(H309="已阻塞",0.25,0))))</f>
        <v/>
      </c>
      <c r="Q309" s="261" t="str"/>
    </row>
    <row r="310" ht="22" customHeight="1" s="48">
      <c r="A310" s="260" t="str"/>
      <c r="B310" s="260" t="str"/>
      <c r="C310" s="260" t="str"/>
      <c r="D310" s="260" t="str"/>
      <c r="E310" s="260" t="str"/>
      <c r="F310" s="260" t="str"/>
      <c r="G310" s="260" t="str"/>
      <c r="H310" s="302" t="str"/>
      <c r="I310" s="260" t="str"/>
      <c r="J310" s="260" t="str"/>
      <c r="K310" s="287" t="str"/>
      <c r="L310" s="287" t="str"/>
      <c r="M310" s="287" t="str"/>
      <c r="N310" s="260" t="str"/>
      <c r="O310" s="260" t="str"/>
      <c r="P310" s="286">
        <f>IF(H310="已完成",1,IF(H310="待审核",0.8,IF(H310="进行中",0.5,IF(H310="已阻塞",0.25,0))))</f>
        <v/>
      </c>
      <c r="Q310" s="260" t="str"/>
    </row>
    <row r="311" ht="22" customHeight="1" s="48">
      <c r="A311" s="261" t="str"/>
      <c r="B311" s="261" t="str"/>
      <c r="C311" s="261" t="str"/>
      <c r="D311" s="261" t="str"/>
      <c r="E311" s="261" t="str"/>
      <c r="F311" s="261" t="str"/>
      <c r="G311" s="261" t="str"/>
      <c r="H311" s="303" t="str"/>
      <c r="I311" s="261" t="str"/>
      <c r="J311" s="261" t="str"/>
      <c r="K311" s="285" t="str"/>
      <c r="L311" s="285" t="str"/>
      <c r="M311" s="285" t="str"/>
      <c r="N311" s="261" t="str"/>
      <c r="O311" s="261" t="str"/>
      <c r="P311" s="284">
        <f>IF(H311="已完成",1,IF(H311="待审核",0.8,IF(H311="进行中",0.5,IF(H311="已阻塞",0.25,0))))</f>
        <v/>
      </c>
      <c r="Q311" s="261" t="str"/>
    </row>
    <row r="312" ht="22" customHeight="1" s="48">
      <c r="A312" s="260" t="str"/>
      <c r="B312" s="260" t="str"/>
      <c r="C312" s="260" t="str"/>
      <c r="D312" s="260" t="str"/>
      <c r="E312" s="260" t="str"/>
      <c r="F312" s="260" t="str"/>
      <c r="G312" s="260" t="str"/>
      <c r="H312" s="302" t="str"/>
      <c r="I312" s="260" t="str"/>
      <c r="J312" s="260" t="str"/>
      <c r="K312" s="287" t="str"/>
      <c r="L312" s="287" t="str"/>
      <c r="M312" s="287" t="str"/>
      <c r="N312" s="260" t="str"/>
      <c r="O312" s="260" t="str"/>
      <c r="P312" s="286">
        <f>IF(H312="已完成",1,IF(H312="待审核",0.8,IF(H312="进行中",0.5,IF(H312="已阻塞",0.25,0))))</f>
        <v/>
      </c>
      <c r="Q312" s="260" t="str"/>
    </row>
    <row r="313" ht="22" customHeight="1" s="48">
      <c r="A313" s="261" t="str"/>
      <c r="B313" s="261" t="str"/>
      <c r="C313" s="261" t="str"/>
      <c r="D313" s="261" t="str"/>
      <c r="E313" s="261" t="str"/>
      <c r="F313" s="261" t="str"/>
      <c r="G313" s="261" t="str"/>
      <c r="H313" s="303" t="str"/>
      <c r="I313" s="261" t="str"/>
      <c r="J313" s="261" t="str"/>
      <c r="K313" s="285" t="str"/>
      <c r="L313" s="285" t="str"/>
      <c r="M313" s="285" t="str"/>
      <c r="N313" s="261" t="str"/>
      <c r="O313" s="261" t="str"/>
      <c r="P313" s="284">
        <f>IF(H313="已完成",1,IF(H313="待审核",0.8,IF(H313="进行中",0.5,IF(H313="已阻塞",0.25,0))))</f>
        <v/>
      </c>
      <c r="Q313" s="261" t="str"/>
    </row>
    <row r="314" ht="22" customHeight="1" s="48">
      <c r="A314" s="260" t="str"/>
      <c r="B314" s="260" t="str"/>
      <c r="C314" s="260" t="str"/>
      <c r="D314" s="260" t="str"/>
      <c r="E314" s="260" t="str"/>
      <c r="F314" s="260" t="str"/>
      <c r="G314" s="260" t="str"/>
      <c r="H314" s="302" t="str"/>
      <c r="I314" s="260" t="str"/>
      <c r="J314" s="260" t="str"/>
      <c r="K314" s="287" t="str"/>
      <c r="L314" s="287" t="str"/>
      <c r="M314" s="287" t="str"/>
      <c r="N314" s="260" t="str"/>
      <c r="O314" s="260" t="str"/>
      <c r="P314" s="286">
        <f>IF(H314="已完成",1,IF(H314="待审核",0.8,IF(H314="进行中",0.5,IF(H314="已阻塞",0.25,0))))</f>
        <v/>
      </c>
      <c r="Q314" s="260" t="str"/>
    </row>
    <row r="315" ht="22" customHeight="1" s="48">
      <c r="A315" s="261" t="str"/>
      <c r="B315" s="261" t="str"/>
      <c r="C315" s="261" t="str"/>
      <c r="D315" s="261" t="str"/>
      <c r="E315" s="261" t="str"/>
      <c r="F315" s="261" t="str"/>
      <c r="G315" s="261" t="str"/>
      <c r="H315" s="303" t="str"/>
      <c r="I315" s="261" t="str"/>
      <c r="J315" s="261" t="str"/>
      <c r="K315" s="285" t="str"/>
      <c r="L315" s="285" t="str"/>
      <c r="M315" s="285" t="str"/>
      <c r="N315" s="261" t="str"/>
      <c r="O315" s="261" t="str"/>
      <c r="P315" s="284">
        <f>IF(H315="已完成",1,IF(H315="待审核",0.8,IF(H315="进行中",0.5,IF(H315="已阻塞",0.25,0))))</f>
        <v/>
      </c>
      <c r="Q315" s="261" t="str"/>
    </row>
    <row r="316" ht="22" customHeight="1" s="48">
      <c r="A316" s="260" t="str"/>
      <c r="B316" s="260" t="str"/>
      <c r="C316" s="260" t="str"/>
      <c r="D316" s="260" t="str"/>
      <c r="E316" s="260" t="str"/>
      <c r="F316" s="260" t="str"/>
      <c r="G316" s="260" t="str"/>
      <c r="H316" s="302" t="str"/>
      <c r="I316" s="260" t="str"/>
      <c r="J316" s="260" t="str"/>
      <c r="K316" s="287" t="str"/>
      <c r="L316" s="287" t="str"/>
      <c r="M316" s="287" t="str"/>
      <c r="N316" s="260" t="str"/>
      <c r="O316" s="260" t="str"/>
      <c r="P316" s="286">
        <f>IF(H316="已完成",1,IF(H316="待审核",0.8,IF(H316="进行中",0.5,IF(H316="已阻塞",0.25,0))))</f>
        <v/>
      </c>
      <c r="Q316" s="260" t="str"/>
    </row>
    <row r="317" ht="22" customHeight="1" s="48">
      <c r="A317" s="261" t="str"/>
      <c r="B317" s="261" t="str"/>
      <c r="C317" s="261" t="str"/>
      <c r="D317" s="261" t="str"/>
      <c r="E317" s="261" t="str"/>
      <c r="F317" s="261" t="str"/>
      <c r="G317" s="261" t="str"/>
      <c r="H317" s="303" t="str"/>
      <c r="I317" s="261" t="str"/>
      <c r="J317" s="261" t="str"/>
      <c r="K317" s="285" t="str"/>
      <c r="L317" s="285" t="str"/>
      <c r="M317" s="285" t="str"/>
      <c r="N317" s="261" t="str"/>
      <c r="O317" s="261" t="str"/>
      <c r="P317" s="284">
        <f>IF(H317="已完成",1,IF(H317="待审核",0.8,IF(H317="进行中",0.5,IF(H317="已阻塞",0.25,0))))</f>
        <v/>
      </c>
      <c r="Q317" s="261" t="str"/>
    </row>
    <row r="318" ht="22" customHeight="1" s="48">
      <c r="A318" s="260" t="str"/>
      <c r="B318" s="260" t="str"/>
      <c r="C318" s="260" t="str"/>
      <c r="D318" s="260" t="str"/>
      <c r="E318" s="260" t="str"/>
      <c r="F318" s="260" t="str"/>
      <c r="G318" s="260" t="str"/>
      <c r="H318" s="302" t="str"/>
      <c r="I318" s="260" t="str"/>
      <c r="J318" s="260" t="str"/>
      <c r="K318" s="287" t="str"/>
      <c r="L318" s="287" t="str"/>
      <c r="M318" s="287" t="str"/>
      <c r="N318" s="260" t="str"/>
      <c r="O318" s="260" t="str"/>
      <c r="P318" s="286">
        <f>IF(H318="已完成",1,IF(H318="待审核",0.8,IF(H318="进行中",0.5,IF(H318="已阻塞",0.25,0))))</f>
        <v/>
      </c>
      <c r="Q318" s="260" t="str"/>
    </row>
    <row r="319" ht="22" customHeight="1" s="48">
      <c r="A319" s="261" t="str"/>
      <c r="B319" s="261" t="str"/>
      <c r="C319" s="261" t="str"/>
      <c r="D319" s="261" t="str"/>
      <c r="E319" s="261" t="str"/>
      <c r="F319" s="261" t="str"/>
      <c r="G319" s="261" t="str"/>
      <c r="H319" s="303" t="str"/>
      <c r="I319" s="261" t="str"/>
      <c r="J319" s="261" t="str"/>
      <c r="K319" s="285" t="str"/>
      <c r="L319" s="285" t="str"/>
      <c r="M319" s="285" t="str"/>
      <c r="N319" s="261" t="str"/>
      <c r="O319" s="261" t="str"/>
      <c r="P319" s="284">
        <f>IF(H319="已完成",1,IF(H319="待审核",0.8,IF(H319="进行中",0.5,IF(H319="已阻塞",0.25,0))))</f>
        <v/>
      </c>
      <c r="Q319" s="261" t="str"/>
    </row>
    <row r="320" ht="22" customHeight="1" s="48">
      <c r="A320" s="260" t="str"/>
      <c r="B320" s="260" t="str"/>
      <c r="C320" s="260" t="str"/>
      <c r="D320" s="260" t="str"/>
      <c r="E320" s="260" t="str"/>
      <c r="F320" s="260" t="str"/>
      <c r="G320" s="260" t="str"/>
      <c r="H320" s="302" t="str"/>
      <c r="I320" s="260" t="str"/>
      <c r="J320" s="260" t="str"/>
      <c r="K320" s="287" t="str"/>
      <c r="L320" s="287" t="str"/>
      <c r="M320" s="287" t="str"/>
      <c r="N320" s="260" t="str"/>
      <c r="O320" s="260" t="str"/>
      <c r="P320" s="286">
        <f>IF(H320="已完成",1,IF(H320="待审核",0.8,IF(H320="进行中",0.5,IF(H320="已阻塞",0.25,0))))</f>
        <v/>
      </c>
      <c r="Q320" s="260" t="str"/>
    </row>
    <row r="321" ht="22" customHeight="1" s="48">
      <c r="A321" s="261" t="str"/>
      <c r="B321" s="261" t="str"/>
      <c r="C321" s="261" t="str"/>
      <c r="D321" s="261" t="str"/>
      <c r="E321" s="261" t="str"/>
      <c r="F321" s="261" t="str"/>
      <c r="G321" s="261" t="str"/>
      <c r="H321" s="303" t="str"/>
      <c r="I321" s="261" t="str"/>
      <c r="J321" s="261" t="str"/>
      <c r="K321" s="285" t="str"/>
      <c r="L321" s="285" t="str"/>
      <c r="M321" s="285" t="str"/>
      <c r="N321" s="261" t="str"/>
      <c r="O321" s="261" t="str"/>
      <c r="P321" s="284">
        <f>IF(H321="已完成",1,IF(H321="待审核",0.8,IF(H321="进行中",0.5,IF(H321="已阻塞",0.25,0))))</f>
        <v/>
      </c>
      <c r="Q321" s="261" t="str"/>
    </row>
    <row r="322" ht="22" customHeight="1" s="48">
      <c r="A322" s="260" t="str"/>
      <c r="B322" s="260" t="str"/>
      <c r="C322" s="260" t="str"/>
      <c r="D322" s="260" t="str"/>
      <c r="E322" s="260" t="str"/>
      <c r="F322" s="260" t="str"/>
      <c r="G322" s="260" t="str"/>
      <c r="H322" s="302" t="str"/>
      <c r="I322" s="260" t="str"/>
      <c r="J322" s="260" t="str"/>
      <c r="K322" s="287" t="str"/>
      <c r="L322" s="287" t="str"/>
      <c r="M322" s="287" t="str"/>
      <c r="N322" s="260" t="str"/>
      <c r="O322" s="260" t="str"/>
      <c r="P322" s="286">
        <f>IF(H322="已完成",1,IF(H322="待审核",0.8,IF(H322="进行中",0.5,IF(H322="已阻塞",0.25,0))))</f>
        <v/>
      </c>
      <c r="Q322" s="260" t="str"/>
    </row>
    <row r="323" ht="22" customHeight="1" s="48">
      <c r="A323" s="261" t="str"/>
      <c r="B323" s="261" t="str"/>
      <c r="C323" s="261" t="str"/>
      <c r="D323" s="261" t="str"/>
      <c r="E323" s="261" t="str"/>
      <c r="F323" s="261" t="str"/>
      <c r="G323" s="261" t="str"/>
      <c r="H323" s="303" t="str"/>
      <c r="I323" s="261" t="str"/>
      <c r="J323" s="261" t="str"/>
      <c r="K323" s="285" t="str"/>
      <c r="L323" s="285" t="str"/>
      <c r="M323" s="285" t="str"/>
      <c r="N323" s="261" t="str"/>
      <c r="O323" s="261" t="str"/>
      <c r="P323" s="284">
        <f>IF(H323="已完成",1,IF(H323="待审核",0.8,IF(H323="进行中",0.5,IF(H323="已阻塞",0.25,0))))</f>
        <v/>
      </c>
      <c r="Q323" s="261" t="str"/>
    </row>
    <row r="324" ht="22" customHeight="1" s="48">
      <c r="A324" s="260" t="str"/>
      <c r="B324" s="260" t="str"/>
      <c r="C324" s="260" t="str"/>
      <c r="D324" s="260" t="str"/>
      <c r="E324" s="260" t="str"/>
      <c r="F324" s="260" t="str"/>
      <c r="G324" s="260" t="str"/>
      <c r="H324" s="302" t="str"/>
      <c r="I324" s="260" t="str"/>
      <c r="J324" s="260" t="str"/>
      <c r="K324" s="287" t="str"/>
      <c r="L324" s="287" t="str"/>
      <c r="M324" s="287" t="str"/>
      <c r="N324" s="260" t="str"/>
      <c r="O324" s="260" t="str"/>
      <c r="P324" s="286">
        <f>IF(H324="已完成",1,IF(H324="待审核",0.8,IF(H324="进行中",0.5,IF(H324="已阻塞",0.25,0))))</f>
        <v/>
      </c>
      <c r="Q324" s="260" t="str"/>
    </row>
    <row r="325" ht="22" customHeight="1" s="48">
      <c r="A325" s="261" t="str"/>
      <c r="B325" s="261" t="str"/>
      <c r="C325" s="261" t="str"/>
      <c r="D325" s="261" t="str"/>
      <c r="E325" s="261" t="str"/>
      <c r="F325" s="261" t="str"/>
      <c r="G325" s="261" t="str"/>
      <c r="H325" s="303" t="str"/>
      <c r="I325" s="261" t="str"/>
      <c r="J325" s="261" t="str"/>
      <c r="K325" s="285" t="str"/>
      <c r="L325" s="285" t="str"/>
      <c r="M325" s="285" t="str"/>
      <c r="N325" s="261" t="str"/>
      <c r="O325" s="261" t="str"/>
      <c r="P325" s="284">
        <f>IF(H325="已完成",1,IF(H325="待审核",0.8,IF(H325="进行中",0.5,IF(H325="已阻塞",0.25,0))))</f>
        <v/>
      </c>
      <c r="Q325" s="261" t="str"/>
    </row>
    <row r="326" ht="22" customHeight="1" s="48">
      <c r="A326" s="260" t="str"/>
      <c r="B326" s="260" t="str"/>
      <c r="C326" s="260" t="str"/>
      <c r="D326" s="260" t="str"/>
      <c r="E326" s="260" t="str"/>
      <c r="F326" s="260" t="str"/>
      <c r="G326" s="260" t="str"/>
      <c r="H326" s="302" t="str"/>
      <c r="I326" s="260" t="str"/>
      <c r="J326" s="260" t="str"/>
      <c r="K326" s="287" t="str"/>
      <c r="L326" s="287" t="str"/>
      <c r="M326" s="287" t="str"/>
      <c r="N326" s="260" t="str"/>
      <c r="O326" s="260" t="str"/>
      <c r="P326" s="286">
        <f>IF(H326="已完成",1,IF(H326="待审核",0.8,IF(H326="进行中",0.5,IF(H326="已阻塞",0.25,0))))</f>
        <v/>
      </c>
      <c r="Q326" s="260" t="str"/>
    </row>
    <row r="327" ht="22" customHeight="1" s="48">
      <c r="A327" s="261" t="str"/>
      <c r="B327" s="261" t="str"/>
      <c r="C327" s="261" t="str"/>
      <c r="D327" s="261" t="str"/>
      <c r="E327" s="261" t="str"/>
      <c r="F327" s="261" t="str"/>
      <c r="G327" s="261" t="str"/>
      <c r="H327" s="303" t="str"/>
      <c r="I327" s="261" t="str"/>
      <c r="J327" s="261" t="str"/>
      <c r="K327" s="285" t="str"/>
      <c r="L327" s="285" t="str"/>
      <c r="M327" s="285" t="str"/>
      <c r="N327" s="261" t="str"/>
      <c r="O327" s="261" t="str"/>
      <c r="P327" s="284">
        <f>IF(H327="已完成",1,IF(H327="待审核",0.8,IF(H327="进行中",0.5,IF(H327="已阻塞",0.25,0))))</f>
        <v/>
      </c>
      <c r="Q327" s="261" t="str"/>
    </row>
    <row r="328" ht="22" customHeight="1" s="48">
      <c r="A328" s="260" t="str"/>
      <c r="B328" s="260" t="str"/>
      <c r="C328" s="260" t="str"/>
      <c r="D328" s="260" t="str"/>
      <c r="E328" s="260" t="str"/>
      <c r="F328" s="260" t="str"/>
      <c r="G328" s="260" t="str"/>
      <c r="H328" s="302" t="str"/>
      <c r="I328" s="260" t="str"/>
      <c r="J328" s="260" t="str"/>
      <c r="K328" s="287" t="str"/>
      <c r="L328" s="287" t="str"/>
      <c r="M328" s="287" t="str"/>
      <c r="N328" s="260" t="str"/>
      <c r="O328" s="260" t="str"/>
      <c r="P328" s="286">
        <f>IF(H328="已完成",1,IF(H328="待审核",0.8,IF(H328="进行中",0.5,IF(H328="已阻塞",0.25,0))))</f>
        <v/>
      </c>
      <c r="Q328" s="260" t="str"/>
    </row>
    <row r="329" ht="22" customHeight="1" s="48">
      <c r="A329" s="261" t="str"/>
      <c r="B329" s="261" t="str"/>
      <c r="C329" s="261" t="str"/>
      <c r="D329" s="261" t="str"/>
      <c r="E329" s="261" t="str"/>
      <c r="F329" s="261" t="str"/>
      <c r="G329" s="261" t="str"/>
      <c r="H329" s="303" t="str"/>
      <c r="I329" s="261" t="str"/>
      <c r="J329" s="261" t="str"/>
      <c r="K329" s="285" t="str"/>
      <c r="L329" s="285" t="str"/>
      <c r="M329" s="285" t="str"/>
      <c r="N329" s="261" t="str"/>
      <c r="O329" s="261" t="str"/>
      <c r="P329" s="284">
        <f>IF(H329="已完成",1,IF(H329="待审核",0.8,IF(H329="进行中",0.5,IF(H329="已阻塞",0.25,0))))</f>
        <v/>
      </c>
      <c r="Q329" s="261" t="str"/>
    </row>
    <row r="330" ht="22" customHeight="1" s="48">
      <c r="A330" s="260" t="str"/>
      <c r="B330" s="260" t="str"/>
      <c r="C330" s="260" t="str"/>
      <c r="D330" s="260" t="str"/>
      <c r="E330" s="260" t="str"/>
      <c r="F330" s="260" t="str"/>
      <c r="G330" s="260" t="str"/>
      <c r="H330" s="302" t="str"/>
      <c r="I330" s="260" t="str"/>
      <c r="J330" s="260" t="str"/>
      <c r="K330" s="287" t="str"/>
      <c r="L330" s="287" t="str"/>
      <c r="M330" s="287" t="str"/>
      <c r="N330" s="260" t="str"/>
      <c r="O330" s="260" t="str"/>
      <c r="P330" s="286">
        <f>IF(H330="已完成",1,IF(H330="待审核",0.8,IF(H330="进行中",0.5,IF(H330="已阻塞",0.25,0))))</f>
        <v/>
      </c>
      <c r="Q330" s="260" t="str"/>
    </row>
    <row r="331" ht="22" customHeight="1" s="48">
      <c r="A331" s="261" t="str"/>
      <c r="B331" s="261" t="str"/>
      <c r="C331" s="261" t="str"/>
      <c r="D331" s="261" t="str"/>
      <c r="E331" s="261" t="str"/>
      <c r="F331" s="261" t="str"/>
      <c r="G331" s="261" t="str"/>
      <c r="H331" s="303" t="str"/>
      <c r="I331" s="261" t="str"/>
      <c r="J331" s="261" t="str"/>
      <c r="K331" s="285" t="str"/>
      <c r="L331" s="285" t="str"/>
      <c r="M331" s="285" t="str"/>
      <c r="N331" s="261" t="str"/>
      <c r="O331" s="261" t="str"/>
      <c r="P331" s="284">
        <f>IF(H331="已完成",1,IF(H331="待审核",0.8,IF(H331="进行中",0.5,IF(H331="已阻塞",0.25,0))))</f>
        <v/>
      </c>
      <c r="Q331" s="261" t="str"/>
    </row>
    <row r="332" ht="22" customHeight="1" s="48">
      <c r="A332" s="260" t="str"/>
      <c r="B332" s="260" t="str"/>
      <c r="C332" s="260" t="str"/>
      <c r="D332" s="260" t="str"/>
      <c r="E332" s="260" t="str"/>
      <c r="F332" s="260" t="str"/>
      <c r="G332" s="260" t="str"/>
      <c r="H332" s="302" t="str"/>
      <c r="I332" s="260" t="str"/>
      <c r="J332" s="260" t="str"/>
      <c r="K332" s="287" t="str"/>
      <c r="L332" s="287" t="str"/>
      <c r="M332" s="287" t="str"/>
      <c r="N332" s="260" t="str"/>
      <c r="O332" s="260" t="str"/>
      <c r="P332" s="286">
        <f>IF(H332="已完成",1,IF(H332="待审核",0.8,IF(H332="进行中",0.5,IF(H332="已阻塞",0.25,0))))</f>
        <v/>
      </c>
      <c r="Q332" s="260" t="str"/>
    </row>
    <row r="333" ht="22" customHeight="1" s="48">
      <c r="A333" s="261" t="str"/>
      <c r="B333" s="261" t="str"/>
      <c r="C333" s="261" t="str"/>
      <c r="D333" s="261" t="str"/>
      <c r="E333" s="261" t="str"/>
      <c r="F333" s="261" t="str"/>
      <c r="G333" s="261" t="str"/>
      <c r="H333" s="303" t="str"/>
      <c r="I333" s="261" t="str"/>
      <c r="J333" s="261" t="str"/>
      <c r="K333" s="285" t="str"/>
      <c r="L333" s="285" t="str"/>
      <c r="M333" s="285" t="str"/>
      <c r="N333" s="261" t="str"/>
      <c r="O333" s="261" t="str"/>
      <c r="P333" s="284">
        <f>IF(H333="已完成",1,IF(H333="待审核",0.8,IF(H333="进行中",0.5,IF(H333="已阻塞",0.25,0))))</f>
        <v/>
      </c>
      <c r="Q333" s="261" t="str"/>
    </row>
    <row r="334" ht="22" customHeight="1" s="48">
      <c r="A334" s="260" t="str"/>
      <c r="B334" s="260" t="str"/>
      <c r="C334" s="260" t="str"/>
      <c r="D334" s="260" t="str"/>
      <c r="E334" s="260" t="str"/>
      <c r="F334" s="260" t="str"/>
      <c r="G334" s="260" t="str"/>
      <c r="H334" s="302" t="str"/>
      <c r="I334" s="260" t="str"/>
      <c r="J334" s="260" t="str"/>
      <c r="K334" s="287" t="str"/>
      <c r="L334" s="287" t="str"/>
      <c r="M334" s="287" t="str"/>
      <c r="N334" s="260" t="str"/>
      <c r="O334" s="260" t="str"/>
      <c r="P334" s="286">
        <f>IF(H334="已完成",1,IF(H334="待审核",0.8,IF(H334="进行中",0.5,IF(H334="已阻塞",0.25,0))))</f>
        <v/>
      </c>
      <c r="Q334" s="260" t="str"/>
    </row>
    <row r="335" ht="22" customHeight="1" s="48">
      <c r="A335" s="261" t="str"/>
      <c r="B335" s="261" t="str"/>
      <c r="C335" s="261" t="str"/>
      <c r="D335" s="261" t="str"/>
      <c r="E335" s="261" t="str"/>
      <c r="F335" s="261" t="str"/>
      <c r="G335" s="261" t="str"/>
      <c r="H335" s="303" t="str"/>
      <c r="I335" s="261" t="str"/>
      <c r="J335" s="261" t="str"/>
      <c r="K335" s="285" t="str"/>
      <c r="L335" s="285" t="str"/>
      <c r="M335" s="285" t="str"/>
      <c r="N335" s="261" t="str"/>
      <c r="O335" s="261" t="str"/>
      <c r="P335" s="284">
        <f>IF(H335="已完成",1,IF(H335="待审核",0.8,IF(H335="进行中",0.5,IF(H335="已阻塞",0.25,0))))</f>
        <v/>
      </c>
      <c r="Q335" s="261" t="str"/>
    </row>
    <row r="336" ht="22" customHeight="1" s="48">
      <c r="A336" s="260" t="str"/>
      <c r="B336" s="260" t="str"/>
      <c r="C336" s="260" t="str"/>
      <c r="D336" s="260" t="str"/>
      <c r="E336" s="260" t="str"/>
      <c r="F336" s="260" t="str"/>
      <c r="G336" s="260" t="str"/>
      <c r="H336" s="302" t="str"/>
      <c r="I336" s="260" t="str"/>
      <c r="J336" s="260" t="str"/>
      <c r="K336" s="287" t="str"/>
      <c r="L336" s="287" t="str"/>
      <c r="M336" s="287" t="str"/>
      <c r="N336" s="260" t="str"/>
      <c r="O336" s="260" t="str"/>
      <c r="P336" s="286">
        <f>IF(H336="已完成",1,IF(H336="待审核",0.8,IF(H336="进行中",0.5,IF(H336="已阻塞",0.25,0))))</f>
        <v/>
      </c>
      <c r="Q336" s="260" t="str"/>
    </row>
    <row r="337" ht="22" customHeight="1" s="48">
      <c r="A337" s="261" t="str"/>
      <c r="B337" s="261" t="str"/>
      <c r="C337" s="261" t="str"/>
      <c r="D337" s="261" t="str"/>
      <c r="E337" s="261" t="str"/>
      <c r="F337" s="261" t="str"/>
      <c r="G337" s="261" t="str"/>
      <c r="H337" s="303" t="str"/>
      <c r="I337" s="261" t="str"/>
      <c r="J337" s="261" t="str"/>
      <c r="K337" s="285" t="str"/>
      <c r="L337" s="285" t="str"/>
      <c r="M337" s="285" t="str"/>
      <c r="N337" s="261" t="str"/>
      <c r="O337" s="261" t="str"/>
      <c r="P337" s="284">
        <f>IF(H337="已完成",1,IF(H337="待审核",0.8,IF(H337="进行中",0.5,IF(H337="已阻塞",0.25,0))))</f>
        <v/>
      </c>
      <c r="Q337" s="261" t="str"/>
    </row>
    <row r="338" ht="22" customHeight="1" s="48">
      <c r="A338" s="260" t="str"/>
      <c r="B338" s="260" t="str"/>
      <c r="C338" s="260" t="str"/>
      <c r="D338" s="260" t="str"/>
      <c r="E338" s="260" t="str"/>
      <c r="F338" s="260" t="str"/>
      <c r="G338" s="260" t="str"/>
      <c r="H338" s="302" t="str"/>
      <c r="I338" s="260" t="str"/>
      <c r="J338" s="260" t="str"/>
      <c r="K338" s="287" t="str"/>
      <c r="L338" s="287" t="str"/>
      <c r="M338" s="287" t="str"/>
      <c r="N338" s="260" t="str"/>
      <c r="O338" s="260" t="str"/>
      <c r="P338" s="286">
        <f>IF(H338="已完成",1,IF(H338="待审核",0.8,IF(H338="进行中",0.5,IF(H338="已阻塞",0.25,0))))</f>
        <v/>
      </c>
      <c r="Q338" s="260" t="str"/>
    </row>
    <row r="339" ht="22" customHeight="1" s="48">
      <c r="A339" s="261" t="str"/>
      <c r="B339" s="261" t="str"/>
      <c r="C339" s="261" t="str"/>
      <c r="D339" s="261" t="str"/>
      <c r="E339" s="261" t="str"/>
      <c r="F339" s="261" t="str"/>
      <c r="G339" s="261" t="str"/>
      <c r="H339" s="303" t="str"/>
      <c r="I339" s="261" t="str"/>
      <c r="J339" s="261" t="str"/>
      <c r="K339" s="285" t="str"/>
      <c r="L339" s="285" t="str"/>
      <c r="M339" s="285" t="str"/>
      <c r="N339" s="261" t="str"/>
      <c r="O339" s="261" t="str"/>
      <c r="P339" s="284">
        <f>IF(H339="已完成",1,IF(H339="待审核",0.8,IF(H339="进行中",0.5,IF(H339="已阻塞",0.25,0))))</f>
        <v/>
      </c>
      <c r="Q339" s="261" t="str"/>
    </row>
    <row r="340" ht="22" customHeight="1" s="48">
      <c r="A340" s="260" t="str"/>
      <c r="B340" s="260" t="str"/>
      <c r="C340" s="260" t="str"/>
      <c r="D340" s="260" t="str"/>
      <c r="E340" s="260" t="str"/>
      <c r="F340" s="260" t="str"/>
      <c r="G340" s="260" t="str"/>
      <c r="H340" s="302" t="str"/>
      <c r="I340" s="260" t="str"/>
      <c r="J340" s="260" t="str"/>
      <c r="K340" s="287" t="str"/>
      <c r="L340" s="287" t="str"/>
      <c r="M340" s="287" t="str"/>
      <c r="N340" s="260" t="str"/>
      <c r="O340" s="260" t="str"/>
      <c r="P340" s="286">
        <f>IF(H340="已完成",1,IF(H340="待审核",0.8,IF(H340="进行中",0.5,IF(H340="已阻塞",0.25,0))))</f>
        <v/>
      </c>
      <c r="Q340" s="260" t="str"/>
    </row>
    <row r="341" ht="22" customHeight="1" s="48">
      <c r="A341" s="261" t="str"/>
      <c r="B341" s="261" t="str"/>
      <c r="C341" s="261" t="str"/>
      <c r="D341" s="261" t="str"/>
      <c r="E341" s="261" t="str"/>
      <c r="F341" s="261" t="str"/>
      <c r="G341" s="261" t="str"/>
      <c r="H341" s="303" t="str"/>
      <c r="I341" s="261" t="str"/>
      <c r="J341" s="261" t="str"/>
      <c r="K341" s="285" t="str"/>
      <c r="L341" s="285" t="str"/>
      <c r="M341" s="285" t="str"/>
      <c r="N341" s="261" t="str"/>
      <c r="O341" s="261" t="str"/>
      <c r="P341" s="284">
        <f>IF(H341="已完成",1,IF(H341="待审核",0.8,IF(H341="进行中",0.5,IF(H341="已阻塞",0.25,0))))</f>
        <v/>
      </c>
      <c r="Q341" s="261" t="str"/>
    </row>
    <row r="342" ht="22" customHeight="1" s="48">
      <c r="A342" s="260" t="str"/>
      <c r="B342" s="260" t="str"/>
      <c r="C342" s="260" t="str"/>
      <c r="D342" s="260" t="str"/>
      <c r="E342" s="260" t="str"/>
      <c r="F342" s="260" t="str"/>
      <c r="G342" s="260" t="str"/>
      <c r="H342" s="302" t="str"/>
      <c r="I342" s="260" t="str"/>
      <c r="J342" s="260" t="str"/>
      <c r="K342" s="287" t="str"/>
      <c r="L342" s="287" t="str"/>
      <c r="M342" s="287" t="str"/>
      <c r="N342" s="260" t="str"/>
      <c r="O342" s="260" t="str"/>
      <c r="P342" s="286">
        <f>IF(H342="已完成",1,IF(H342="待审核",0.8,IF(H342="进行中",0.5,IF(H342="已阻塞",0.25,0))))</f>
        <v/>
      </c>
      <c r="Q342" s="260" t="str"/>
    </row>
    <row r="343" ht="22" customHeight="1" s="48">
      <c r="A343" s="261" t="str"/>
      <c r="B343" s="261" t="str"/>
      <c r="C343" s="261" t="str"/>
      <c r="D343" s="261" t="str"/>
      <c r="E343" s="261" t="str"/>
      <c r="F343" s="261" t="str"/>
      <c r="G343" s="261" t="str"/>
      <c r="H343" s="303" t="str"/>
      <c r="I343" s="261" t="str"/>
      <c r="J343" s="261" t="str"/>
      <c r="K343" s="285" t="str"/>
      <c r="L343" s="285" t="str"/>
      <c r="M343" s="285" t="str"/>
      <c r="N343" s="261" t="str"/>
      <c r="O343" s="261" t="str"/>
      <c r="P343" s="284">
        <f>IF(H343="已完成",1,IF(H343="待审核",0.8,IF(H343="进行中",0.5,IF(H343="已阻塞",0.25,0))))</f>
        <v/>
      </c>
      <c r="Q343" s="261" t="str"/>
    </row>
    <row r="344" ht="22" customHeight="1" s="48">
      <c r="A344" s="260" t="str"/>
      <c r="B344" s="260" t="str"/>
      <c r="C344" s="260" t="str"/>
      <c r="D344" s="260" t="str"/>
      <c r="E344" s="260" t="str"/>
      <c r="F344" s="260" t="str"/>
      <c r="G344" s="260" t="str"/>
      <c r="H344" s="302" t="str"/>
      <c r="I344" s="260" t="str"/>
      <c r="J344" s="260" t="str"/>
      <c r="K344" s="287" t="str"/>
      <c r="L344" s="287" t="str"/>
      <c r="M344" s="287" t="str"/>
      <c r="N344" s="260" t="str"/>
      <c r="O344" s="260" t="str"/>
      <c r="P344" s="286">
        <f>IF(H344="已完成",1,IF(H344="待审核",0.8,IF(H344="进行中",0.5,IF(H344="已阻塞",0.25,0))))</f>
        <v/>
      </c>
      <c r="Q344" s="260" t="str"/>
    </row>
    <row r="345" ht="22" customHeight="1" s="48">
      <c r="A345" s="261" t="str"/>
      <c r="B345" s="261" t="str"/>
      <c r="C345" s="261" t="str"/>
      <c r="D345" s="261" t="str"/>
      <c r="E345" s="261" t="str"/>
      <c r="F345" s="261" t="str"/>
      <c r="G345" s="261" t="str"/>
      <c r="H345" s="303" t="str"/>
      <c r="I345" s="261" t="str"/>
      <c r="J345" s="261" t="str"/>
      <c r="K345" s="285" t="str"/>
      <c r="L345" s="285" t="str"/>
      <c r="M345" s="285" t="str"/>
      <c r="N345" s="261" t="str"/>
      <c r="O345" s="261" t="str"/>
      <c r="P345" s="284">
        <f>IF(H345="已完成",1,IF(H345="待审核",0.8,IF(H345="进行中",0.5,IF(H345="已阻塞",0.25,0))))</f>
        <v/>
      </c>
      <c r="Q345" s="261" t="str"/>
    </row>
    <row r="346" ht="22" customHeight="1" s="48">
      <c r="A346" s="260" t="str"/>
      <c r="B346" s="260" t="str"/>
      <c r="C346" s="260" t="str"/>
      <c r="D346" s="260" t="str"/>
      <c r="E346" s="260" t="str"/>
      <c r="F346" s="260" t="str"/>
      <c r="G346" s="260" t="str"/>
      <c r="H346" s="302" t="str"/>
      <c r="I346" s="260" t="str"/>
      <c r="J346" s="260" t="str"/>
      <c r="K346" s="287" t="str"/>
      <c r="L346" s="287" t="str"/>
      <c r="M346" s="287" t="str"/>
      <c r="N346" s="260" t="str"/>
      <c r="O346" s="260" t="str"/>
      <c r="P346" s="286">
        <f>IF(H346="已完成",1,IF(H346="待审核",0.8,IF(H346="进行中",0.5,IF(H346="已阻塞",0.25,0))))</f>
        <v/>
      </c>
      <c r="Q346" s="260" t="str"/>
    </row>
    <row r="347" ht="22" customHeight="1" s="48">
      <c r="A347" s="261" t="str"/>
      <c r="B347" s="261" t="str"/>
      <c r="C347" s="261" t="str"/>
      <c r="D347" s="261" t="str"/>
      <c r="E347" s="261" t="str"/>
      <c r="F347" s="261" t="str"/>
      <c r="G347" s="261" t="str"/>
      <c r="H347" s="303" t="str"/>
      <c r="I347" s="261" t="str"/>
      <c r="J347" s="261" t="str"/>
      <c r="K347" s="285" t="str"/>
      <c r="L347" s="285" t="str"/>
      <c r="M347" s="285" t="str"/>
      <c r="N347" s="261" t="str"/>
      <c r="O347" s="261" t="str"/>
      <c r="P347" s="284">
        <f>IF(H347="已完成",1,IF(H347="待审核",0.8,IF(H347="进行中",0.5,IF(H347="已阻塞",0.25,0))))</f>
        <v/>
      </c>
      <c r="Q347" s="261" t="str"/>
    </row>
    <row r="348" ht="22" customHeight="1" s="48">
      <c r="A348" s="260" t="str"/>
      <c r="B348" s="260" t="str"/>
      <c r="C348" s="260" t="str"/>
      <c r="D348" s="260" t="str"/>
      <c r="E348" s="260" t="str"/>
      <c r="F348" s="260" t="str"/>
      <c r="G348" s="260" t="str"/>
      <c r="H348" s="302" t="str"/>
      <c r="I348" s="260" t="str"/>
      <c r="J348" s="260" t="str"/>
      <c r="K348" s="287" t="str"/>
      <c r="L348" s="287" t="str"/>
      <c r="M348" s="287" t="str"/>
      <c r="N348" s="260" t="str"/>
      <c r="O348" s="260" t="str"/>
      <c r="P348" s="286">
        <f>IF(H348="已完成",1,IF(H348="待审核",0.8,IF(H348="进行中",0.5,IF(H348="已阻塞",0.25,0))))</f>
        <v/>
      </c>
      <c r="Q348" s="260" t="str"/>
    </row>
    <row r="349" ht="22" customHeight="1" s="48">
      <c r="A349" s="261" t="str"/>
      <c r="B349" s="261" t="str"/>
      <c r="C349" s="261" t="str"/>
      <c r="D349" s="261" t="str"/>
      <c r="E349" s="261" t="str"/>
      <c r="F349" s="261" t="str"/>
      <c r="G349" s="261" t="str"/>
      <c r="H349" s="303" t="str"/>
      <c r="I349" s="261" t="str"/>
      <c r="J349" s="261" t="str"/>
      <c r="K349" s="285" t="str"/>
      <c r="L349" s="285" t="str"/>
      <c r="M349" s="285" t="str"/>
      <c r="N349" s="261" t="str"/>
      <c r="O349" s="261" t="str"/>
      <c r="P349" s="284">
        <f>IF(H349="已完成",1,IF(H349="待审核",0.8,IF(H349="进行中",0.5,IF(H349="已阻塞",0.25,0))))</f>
        <v/>
      </c>
      <c r="Q349" s="261" t="str"/>
    </row>
    <row r="350" ht="22" customHeight="1" s="48">
      <c r="A350" s="260" t="str"/>
      <c r="B350" s="260" t="str"/>
      <c r="C350" s="260" t="str"/>
      <c r="D350" s="260" t="str"/>
      <c r="E350" s="260" t="str"/>
      <c r="F350" s="260" t="str"/>
      <c r="G350" s="260" t="str"/>
      <c r="H350" s="302" t="str"/>
      <c r="I350" s="260" t="str"/>
      <c r="J350" s="260" t="str"/>
      <c r="K350" s="287" t="str"/>
      <c r="L350" s="287" t="str"/>
      <c r="M350" s="287" t="str"/>
      <c r="N350" s="260" t="str"/>
      <c r="O350" s="260" t="str"/>
      <c r="P350" s="286">
        <f>IF(H350="已完成",1,IF(H350="待审核",0.8,IF(H350="进行中",0.5,IF(H350="已阻塞",0.25,0))))</f>
        <v/>
      </c>
      <c r="Q350" s="260" t="str"/>
    </row>
    <row r="351" ht="22" customHeight="1" s="48">
      <c r="A351" s="261" t="str"/>
      <c r="B351" s="261" t="str"/>
      <c r="C351" s="261" t="str"/>
      <c r="D351" s="261" t="str"/>
      <c r="E351" s="261" t="str"/>
      <c r="F351" s="261" t="str"/>
      <c r="G351" s="261" t="str"/>
      <c r="H351" s="303" t="str"/>
      <c r="I351" s="261" t="str"/>
      <c r="J351" s="261" t="str"/>
      <c r="K351" s="285" t="str"/>
      <c r="L351" s="285" t="str"/>
      <c r="M351" s="285" t="str"/>
      <c r="N351" s="261" t="str"/>
      <c r="O351" s="261" t="str"/>
      <c r="P351" s="284">
        <f>IF(H351="已完成",1,IF(H351="待审核",0.8,IF(H351="进行中",0.5,IF(H351="已阻塞",0.25,0))))</f>
        <v/>
      </c>
      <c r="Q351" s="261" t="str"/>
    </row>
    <row r="352" ht="22" customHeight="1" s="48">
      <c r="A352" s="260" t="str"/>
      <c r="B352" s="260" t="str"/>
      <c r="C352" s="260" t="str"/>
      <c r="D352" s="260" t="str"/>
      <c r="E352" s="260" t="str"/>
      <c r="F352" s="260" t="str"/>
      <c r="G352" s="260" t="str"/>
      <c r="H352" s="302" t="str"/>
      <c r="I352" s="260" t="str"/>
      <c r="J352" s="260" t="str"/>
      <c r="K352" s="287" t="str"/>
      <c r="L352" s="287" t="str"/>
      <c r="M352" s="287" t="str"/>
      <c r="N352" s="260" t="str"/>
      <c r="O352" s="260" t="str"/>
      <c r="P352" s="286">
        <f>IF(H352="已完成",1,IF(H352="待审核",0.8,IF(H352="进行中",0.5,IF(H352="已阻塞",0.25,0))))</f>
        <v/>
      </c>
      <c r="Q352" s="260" t="str"/>
    </row>
    <row r="353" ht="22" customHeight="1" s="48">
      <c r="A353" s="261" t="str"/>
      <c r="B353" s="261" t="str"/>
      <c r="C353" s="261" t="str"/>
      <c r="D353" s="261" t="str"/>
      <c r="E353" s="261" t="str"/>
      <c r="F353" s="261" t="str"/>
      <c r="G353" s="261" t="str"/>
      <c r="H353" s="303" t="str"/>
      <c r="I353" s="261" t="str"/>
      <c r="J353" s="261" t="str"/>
      <c r="K353" s="285" t="str"/>
      <c r="L353" s="285" t="str"/>
      <c r="M353" s="285" t="str"/>
      <c r="N353" s="261" t="str"/>
      <c r="O353" s="261" t="str"/>
      <c r="P353" s="284">
        <f>IF(H353="已完成",1,IF(H353="待审核",0.8,IF(H353="进行中",0.5,IF(H353="已阻塞",0.25,0))))</f>
        <v/>
      </c>
      <c r="Q353" s="261" t="str"/>
    </row>
    <row r="354" ht="22" customHeight="1" s="48">
      <c r="A354" s="260" t="str"/>
      <c r="B354" s="260" t="str"/>
      <c r="C354" s="260" t="str"/>
      <c r="D354" s="260" t="str"/>
      <c r="E354" s="260" t="str"/>
      <c r="F354" s="260" t="str"/>
      <c r="G354" s="260" t="str"/>
      <c r="H354" s="302" t="str"/>
      <c r="I354" s="260" t="str"/>
      <c r="J354" s="260" t="str"/>
      <c r="K354" s="287" t="str"/>
      <c r="L354" s="287" t="str"/>
      <c r="M354" s="287" t="str"/>
      <c r="N354" s="260" t="str"/>
      <c r="O354" s="260" t="str"/>
      <c r="P354" s="286">
        <f>IF(H354="已完成",1,IF(H354="待审核",0.8,IF(H354="进行中",0.5,IF(H354="已阻塞",0.25,0))))</f>
        <v/>
      </c>
      <c r="Q354" s="260" t="str"/>
    </row>
    <row r="355" ht="22" customHeight="1" s="48">
      <c r="A355" s="261" t="str"/>
      <c r="B355" s="261" t="str"/>
      <c r="C355" s="261" t="str"/>
      <c r="D355" s="261" t="str"/>
      <c r="E355" s="261" t="str"/>
      <c r="F355" s="261" t="str"/>
      <c r="G355" s="261" t="str"/>
      <c r="H355" s="303" t="str"/>
      <c r="I355" s="261" t="str"/>
      <c r="J355" s="261" t="str"/>
      <c r="K355" s="285" t="str"/>
      <c r="L355" s="285" t="str"/>
      <c r="M355" s="285" t="str"/>
      <c r="N355" s="261" t="str"/>
      <c r="O355" s="261" t="str"/>
      <c r="P355" s="284">
        <f>IF(H355="已完成",1,IF(H355="待审核",0.8,IF(H355="进行中",0.5,IF(H355="已阻塞",0.25,0))))</f>
        <v/>
      </c>
      <c r="Q355" s="261" t="str"/>
    </row>
    <row r="356" ht="22" customHeight="1" s="48">
      <c r="A356" s="260" t="str"/>
      <c r="B356" s="260" t="str"/>
      <c r="C356" s="260" t="str"/>
      <c r="D356" s="260" t="str"/>
      <c r="E356" s="260" t="str"/>
      <c r="F356" s="260" t="str"/>
      <c r="G356" s="260" t="str"/>
      <c r="H356" s="302" t="str"/>
      <c r="I356" s="260" t="str"/>
      <c r="J356" s="260" t="str"/>
      <c r="K356" s="287" t="str"/>
      <c r="L356" s="287" t="str"/>
      <c r="M356" s="287" t="str"/>
      <c r="N356" s="260" t="str"/>
      <c r="O356" s="260" t="str"/>
      <c r="P356" s="286">
        <f>IF(H356="已完成",1,IF(H356="待审核",0.8,IF(H356="进行中",0.5,IF(H356="已阻塞",0.25,0))))</f>
        <v/>
      </c>
      <c r="Q356" s="260" t="str"/>
    </row>
    <row r="357" ht="22" customHeight="1" s="48">
      <c r="A357" s="261" t="str"/>
      <c r="B357" s="261" t="str"/>
      <c r="C357" s="261" t="str"/>
      <c r="D357" s="261" t="str"/>
      <c r="E357" s="261" t="str"/>
      <c r="F357" s="261" t="str"/>
      <c r="G357" s="261" t="str"/>
      <c r="H357" s="303" t="str"/>
      <c r="I357" s="261" t="str"/>
      <c r="J357" s="261" t="str"/>
      <c r="K357" s="285" t="str"/>
      <c r="L357" s="285" t="str"/>
      <c r="M357" s="285" t="str"/>
      <c r="N357" s="261" t="str"/>
      <c r="O357" s="261" t="str"/>
      <c r="P357" s="284">
        <f>IF(H357="已完成",1,IF(H357="待审核",0.8,IF(H357="进行中",0.5,IF(H357="已阻塞",0.25,0))))</f>
        <v/>
      </c>
      <c r="Q357" s="261" t="str"/>
    </row>
    <row r="358" ht="22" customHeight="1" s="48">
      <c r="A358" s="260" t="str"/>
      <c r="B358" s="260" t="str"/>
      <c r="C358" s="260" t="str"/>
      <c r="D358" s="260" t="str"/>
      <c r="E358" s="260" t="str"/>
      <c r="F358" s="260" t="str"/>
      <c r="G358" s="260" t="str"/>
      <c r="H358" s="302" t="str"/>
      <c r="I358" s="260" t="str"/>
      <c r="J358" s="260" t="str"/>
      <c r="K358" s="287" t="str"/>
      <c r="L358" s="287" t="str"/>
      <c r="M358" s="287" t="str"/>
      <c r="N358" s="260" t="str"/>
      <c r="O358" s="260" t="str"/>
      <c r="P358" s="286">
        <f>IF(H358="已完成",1,IF(H358="待审核",0.8,IF(H358="进行中",0.5,IF(H358="已阻塞",0.25,0))))</f>
        <v/>
      </c>
      <c r="Q358" s="260" t="str"/>
    </row>
    <row r="359" ht="22" customHeight="1" s="48">
      <c r="A359" s="261" t="str"/>
      <c r="B359" s="261" t="str"/>
      <c r="C359" s="261" t="str"/>
      <c r="D359" s="261" t="str"/>
      <c r="E359" s="261" t="str"/>
      <c r="F359" s="261" t="str"/>
      <c r="G359" s="261" t="str"/>
      <c r="H359" s="303" t="str"/>
      <c r="I359" s="261" t="str"/>
      <c r="J359" s="261" t="str"/>
      <c r="K359" s="285" t="str"/>
      <c r="L359" s="285" t="str"/>
      <c r="M359" s="285" t="str"/>
      <c r="N359" s="261" t="str"/>
      <c r="O359" s="261" t="str"/>
      <c r="P359" s="284">
        <f>IF(H359="已完成",1,IF(H359="待审核",0.8,IF(H359="进行中",0.5,IF(H359="已阻塞",0.25,0))))</f>
        <v/>
      </c>
      <c r="Q359" s="261" t="str"/>
    </row>
    <row r="360" ht="22" customHeight="1" s="48">
      <c r="A360" s="260" t="str"/>
      <c r="B360" s="260" t="str"/>
      <c r="C360" s="260" t="str"/>
      <c r="D360" s="260" t="str"/>
      <c r="E360" s="260" t="str"/>
      <c r="F360" s="260" t="str"/>
      <c r="G360" s="260" t="str"/>
      <c r="H360" s="302" t="str"/>
      <c r="I360" s="260" t="str"/>
      <c r="J360" s="260" t="str"/>
      <c r="K360" s="287" t="str"/>
      <c r="L360" s="287" t="str"/>
      <c r="M360" s="287" t="str"/>
      <c r="N360" s="260" t="str"/>
      <c r="O360" s="260" t="str"/>
      <c r="P360" s="286">
        <f>IF(H360="已完成",1,IF(H360="待审核",0.8,IF(H360="进行中",0.5,IF(H360="已阻塞",0.25,0))))</f>
        <v/>
      </c>
      <c r="Q360" s="260" t="str"/>
    </row>
    <row r="361" ht="22" customHeight="1" s="48">
      <c r="A361" s="261" t="str"/>
      <c r="B361" s="261" t="str"/>
      <c r="C361" s="261" t="str"/>
      <c r="D361" s="261" t="str"/>
      <c r="E361" s="261" t="str"/>
      <c r="F361" s="261" t="str"/>
      <c r="G361" s="261" t="str"/>
      <c r="H361" s="303" t="str"/>
      <c r="I361" s="261" t="str"/>
      <c r="J361" s="261" t="str"/>
      <c r="K361" s="285" t="str"/>
      <c r="L361" s="285" t="str"/>
      <c r="M361" s="285" t="str"/>
      <c r="N361" s="261" t="str"/>
      <c r="O361" s="261" t="str"/>
      <c r="P361" s="284">
        <f>IF(H361="已完成",1,IF(H361="待审核",0.8,IF(H361="进行中",0.5,IF(H361="已阻塞",0.25,0))))</f>
        <v/>
      </c>
      <c r="Q361" s="261" t="str"/>
    </row>
    <row r="362" ht="22" customHeight="1" s="48">
      <c r="A362" s="260" t="str"/>
      <c r="B362" s="260" t="str"/>
      <c r="C362" s="260" t="str"/>
      <c r="D362" s="260" t="str"/>
      <c r="E362" s="260" t="str"/>
      <c r="F362" s="260" t="str"/>
      <c r="G362" s="260" t="str"/>
      <c r="H362" s="302" t="str"/>
      <c r="I362" s="260" t="str"/>
      <c r="J362" s="260" t="str"/>
      <c r="K362" s="287" t="str"/>
      <c r="L362" s="287" t="str"/>
      <c r="M362" s="287" t="str"/>
      <c r="N362" s="260" t="str"/>
      <c r="O362" s="260" t="str"/>
      <c r="P362" s="286">
        <f>IF(H362="已完成",1,IF(H362="待审核",0.8,IF(H362="进行中",0.5,IF(H362="已阻塞",0.25,0))))</f>
        <v/>
      </c>
      <c r="Q362" s="260" t="str"/>
    </row>
    <row r="363" ht="22" customHeight="1" s="48">
      <c r="A363" s="261" t="str"/>
      <c r="B363" s="261" t="str"/>
      <c r="C363" s="261" t="str"/>
      <c r="D363" s="261" t="str"/>
      <c r="E363" s="261" t="str"/>
      <c r="F363" s="261" t="str"/>
      <c r="G363" s="261" t="str"/>
      <c r="H363" s="303" t="str"/>
      <c r="I363" s="261" t="str"/>
      <c r="J363" s="261" t="str"/>
      <c r="K363" s="285" t="str"/>
      <c r="L363" s="285" t="str"/>
      <c r="M363" s="285" t="str"/>
      <c r="N363" s="261" t="str"/>
      <c r="O363" s="261" t="str"/>
      <c r="P363" s="284">
        <f>IF(H363="已完成",1,IF(H363="待审核",0.8,IF(H363="进行中",0.5,IF(H363="已阻塞",0.25,0))))</f>
        <v/>
      </c>
      <c r="Q363" s="261" t="str"/>
    </row>
    <row r="364" ht="22" customHeight="1" s="48">
      <c r="A364" s="260" t="str"/>
      <c r="B364" s="260" t="str"/>
      <c r="C364" s="260" t="str"/>
      <c r="D364" s="260" t="str"/>
      <c r="E364" s="260" t="str"/>
      <c r="F364" s="260" t="str"/>
      <c r="G364" s="260" t="str"/>
      <c r="H364" s="302" t="str"/>
      <c r="I364" s="260" t="str"/>
      <c r="J364" s="260" t="str"/>
      <c r="K364" s="287" t="str"/>
      <c r="L364" s="287" t="str"/>
      <c r="M364" s="287" t="str"/>
      <c r="N364" s="260" t="str"/>
      <c r="O364" s="260" t="str"/>
      <c r="P364" s="286">
        <f>IF(H364="已完成",1,IF(H364="待审核",0.8,IF(H364="进行中",0.5,IF(H364="已阻塞",0.25,0))))</f>
        <v/>
      </c>
      <c r="Q364" s="260" t="str"/>
    </row>
    <row r="365" ht="22" customHeight="1" s="48">
      <c r="A365" s="261" t="str"/>
      <c r="B365" s="261" t="str"/>
      <c r="C365" s="261" t="str"/>
      <c r="D365" s="261" t="str"/>
      <c r="E365" s="261" t="str"/>
      <c r="F365" s="261" t="str"/>
      <c r="G365" s="261" t="str"/>
      <c r="H365" s="303" t="str"/>
      <c r="I365" s="261" t="str"/>
      <c r="J365" s="261" t="str"/>
      <c r="K365" s="285" t="str"/>
      <c r="L365" s="285" t="str"/>
      <c r="M365" s="285" t="str"/>
      <c r="N365" s="261" t="str"/>
      <c r="O365" s="261" t="str"/>
      <c r="P365" s="284">
        <f>IF(H365="已完成",1,IF(H365="待审核",0.8,IF(H365="进行中",0.5,IF(H365="已阻塞",0.25,0))))</f>
        <v/>
      </c>
      <c r="Q365" s="261" t="str"/>
    </row>
    <row r="366" ht="22" customHeight="1" s="48">
      <c r="A366" s="260" t="str"/>
      <c r="B366" s="260" t="str"/>
      <c r="C366" s="260" t="str"/>
      <c r="D366" s="260" t="str"/>
      <c r="E366" s="260" t="str"/>
      <c r="F366" s="260" t="str"/>
      <c r="G366" s="260" t="str"/>
      <c r="H366" s="302" t="str"/>
      <c r="I366" s="260" t="str"/>
      <c r="J366" s="260" t="str"/>
      <c r="K366" s="287" t="str"/>
      <c r="L366" s="287" t="str"/>
      <c r="M366" s="287" t="str"/>
      <c r="N366" s="260" t="str"/>
      <c r="O366" s="260" t="str"/>
      <c r="P366" s="286">
        <f>IF(H366="已完成",1,IF(H366="待审核",0.8,IF(H366="进行中",0.5,IF(H366="已阻塞",0.25,0))))</f>
        <v/>
      </c>
      <c r="Q366" s="260" t="str"/>
    </row>
    <row r="367" ht="22" customHeight="1" s="48">
      <c r="A367" s="261" t="str"/>
      <c r="B367" s="261" t="str"/>
      <c r="C367" s="261" t="str"/>
      <c r="D367" s="261" t="str"/>
      <c r="E367" s="261" t="str"/>
      <c r="F367" s="261" t="str"/>
      <c r="G367" s="261" t="str"/>
      <c r="H367" s="303" t="str"/>
      <c r="I367" s="261" t="str"/>
      <c r="J367" s="261" t="str"/>
      <c r="K367" s="285" t="str"/>
      <c r="L367" s="285" t="str"/>
      <c r="M367" s="285" t="str"/>
      <c r="N367" s="261" t="str"/>
      <c r="O367" s="261" t="str"/>
      <c r="P367" s="284">
        <f>IF(H367="已完成",1,IF(H367="待审核",0.8,IF(H367="进行中",0.5,IF(H367="已阻塞",0.25,0))))</f>
        <v/>
      </c>
      <c r="Q367" s="261" t="str"/>
    </row>
    <row r="368" ht="22" customHeight="1" s="48">
      <c r="A368" s="260" t="str"/>
      <c r="B368" s="260" t="str"/>
      <c r="C368" s="260" t="str"/>
      <c r="D368" s="260" t="str"/>
      <c r="E368" s="260" t="str"/>
      <c r="F368" s="260" t="str"/>
      <c r="G368" s="260" t="str"/>
      <c r="H368" s="302" t="str"/>
      <c r="I368" s="260" t="str"/>
      <c r="J368" s="260" t="str"/>
      <c r="K368" s="287" t="str"/>
      <c r="L368" s="287" t="str"/>
      <c r="M368" s="287" t="str"/>
      <c r="N368" s="260" t="str"/>
      <c r="O368" s="260" t="str"/>
      <c r="P368" s="286">
        <f>IF(H368="已完成",1,IF(H368="待审核",0.8,IF(H368="进行中",0.5,IF(H368="已阻塞",0.25,0))))</f>
        <v/>
      </c>
      <c r="Q368" s="260" t="str"/>
    </row>
    <row r="369" ht="22" customHeight="1" s="48">
      <c r="A369" s="261" t="str"/>
      <c r="B369" s="261" t="str"/>
      <c r="C369" s="261" t="str"/>
      <c r="D369" s="261" t="str"/>
      <c r="E369" s="261" t="str"/>
      <c r="F369" s="261" t="str"/>
      <c r="G369" s="261" t="str"/>
      <c r="H369" s="303" t="str"/>
      <c r="I369" s="261" t="str"/>
      <c r="J369" s="261" t="str"/>
      <c r="K369" s="285" t="str"/>
      <c r="L369" s="285" t="str"/>
      <c r="M369" s="285" t="str"/>
      <c r="N369" s="261" t="str"/>
      <c r="O369" s="261" t="str"/>
      <c r="P369" s="284">
        <f>IF(H369="已完成",1,IF(H369="待审核",0.8,IF(H369="进行中",0.5,IF(H369="已阻塞",0.25,0))))</f>
        <v/>
      </c>
      <c r="Q369" s="261" t="str"/>
    </row>
    <row r="370" ht="22" customHeight="1" s="48">
      <c r="A370" s="260" t="str"/>
      <c r="B370" s="260" t="str"/>
      <c r="C370" s="260" t="str"/>
      <c r="D370" s="260" t="str"/>
      <c r="E370" s="260" t="str"/>
      <c r="F370" s="260" t="str"/>
      <c r="G370" s="260" t="str"/>
      <c r="H370" s="302" t="str"/>
      <c r="I370" s="260" t="str"/>
      <c r="J370" s="260" t="str"/>
      <c r="K370" s="287" t="str"/>
      <c r="L370" s="287" t="str"/>
      <c r="M370" s="287" t="str"/>
      <c r="N370" s="260" t="str"/>
      <c r="O370" s="260" t="str"/>
      <c r="P370" s="286">
        <f>IF(H370="已完成",1,IF(H370="待审核",0.8,IF(H370="进行中",0.5,IF(H370="已阻塞",0.25,0))))</f>
        <v/>
      </c>
      <c r="Q370" s="260" t="str"/>
    </row>
    <row r="371" ht="22" customHeight="1" s="48">
      <c r="A371" s="261" t="str"/>
      <c r="B371" s="261" t="str"/>
      <c r="C371" s="261" t="str"/>
      <c r="D371" s="261" t="str"/>
      <c r="E371" s="261" t="str"/>
      <c r="F371" s="261" t="str"/>
      <c r="G371" s="261" t="str"/>
      <c r="H371" s="303" t="str"/>
      <c r="I371" s="261" t="str"/>
      <c r="J371" s="261" t="str"/>
      <c r="K371" s="285" t="str"/>
      <c r="L371" s="285" t="str"/>
      <c r="M371" s="285" t="str"/>
      <c r="N371" s="261" t="str"/>
      <c r="O371" s="261" t="str"/>
      <c r="P371" s="284">
        <f>IF(H371="已完成",1,IF(H371="待审核",0.8,IF(H371="进行中",0.5,IF(H371="已阻塞",0.25,0))))</f>
        <v/>
      </c>
      <c r="Q371" s="261" t="str"/>
    </row>
    <row r="372" ht="22" customHeight="1" s="48">
      <c r="A372" s="260" t="str"/>
      <c r="B372" s="260" t="str"/>
      <c r="C372" s="260" t="str"/>
      <c r="D372" s="260" t="str"/>
      <c r="E372" s="260" t="str"/>
      <c r="F372" s="260" t="str"/>
      <c r="G372" s="260" t="str"/>
      <c r="H372" s="302" t="str"/>
      <c r="I372" s="260" t="str"/>
      <c r="J372" s="260" t="str"/>
      <c r="K372" s="287" t="str"/>
      <c r="L372" s="287" t="str"/>
      <c r="M372" s="287" t="str"/>
      <c r="N372" s="260" t="str"/>
      <c r="O372" s="260" t="str"/>
      <c r="P372" s="286">
        <f>IF(H372="已完成",1,IF(H372="待审核",0.8,IF(H372="进行中",0.5,IF(H372="已阻塞",0.25,0))))</f>
        <v/>
      </c>
      <c r="Q372" s="260" t="str"/>
    </row>
    <row r="373" ht="22" customHeight="1" s="48">
      <c r="A373" s="261" t="str"/>
      <c r="B373" s="261" t="str"/>
      <c r="C373" s="261" t="str"/>
      <c r="D373" s="261" t="str"/>
      <c r="E373" s="261" t="str"/>
      <c r="F373" s="261" t="str"/>
      <c r="G373" s="261" t="str"/>
      <c r="H373" s="303" t="str"/>
      <c r="I373" s="261" t="str"/>
      <c r="J373" s="261" t="str"/>
      <c r="K373" s="285" t="str"/>
      <c r="L373" s="285" t="str"/>
      <c r="M373" s="285" t="str"/>
      <c r="N373" s="261" t="str"/>
      <c r="O373" s="261" t="str"/>
      <c r="P373" s="284">
        <f>IF(H373="已完成",1,IF(H373="待审核",0.8,IF(H373="进行中",0.5,IF(H373="已阻塞",0.25,0))))</f>
        <v/>
      </c>
      <c r="Q373" s="261" t="str"/>
    </row>
    <row r="374" ht="22" customHeight="1" s="48">
      <c r="A374" s="260" t="str"/>
      <c r="B374" s="260" t="str"/>
      <c r="C374" s="260" t="str"/>
      <c r="D374" s="260" t="str"/>
      <c r="E374" s="260" t="str"/>
      <c r="F374" s="260" t="str"/>
      <c r="G374" s="260" t="str"/>
      <c r="H374" s="302" t="str"/>
      <c r="I374" s="260" t="str"/>
      <c r="J374" s="260" t="str"/>
      <c r="K374" s="287" t="str"/>
      <c r="L374" s="287" t="str"/>
      <c r="M374" s="287" t="str"/>
      <c r="N374" s="260" t="str"/>
      <c r="O374" s="260" t="str"/>
      <c r="P374" s="286">
        <f>IF(H374="已完成",1,IF(H374="待审核",0.8,IF(H374="进行中",0.5,IF(H374="已阻塞",0.25,0))))</f>
        <v/>
      </c>
      <c r="Q374" s="260" t="str"/>
    </row>
    <row r="375" ht="22" customHeight="1" s="48">
      <c r="A375" s="261" t="str"/>
      <c r="B375" s="261" t="str"/>
      <c r="C375" s="261" t="str"/>
      <c r="D375" s="261" t="str"/>
      <c r="E375" s="261" t="str"/>
      <c r="F375" s="261" t="str"/>
      <c r="G375" s="261" t="str"/>
      <c r="H375" s="303" t="str"/>
      <c r="I375" s="261" t="str"/>
      <c r="J375" s="261" t="str"/>
      <c r="K375" s="285" t="str"/>
      <c r="L375" s="285" t="str"/>
      <c r="M375" s="285" t="str"/>
      <c r="N375" s="261" t="str"/>
      <c r="O375" s="261" t="str"/>
      <c r="P375" s="284">
        <f>IF(H375="已完成",1,IF(H375="待审核",0.8,IF(H375="进行中",0.5,IF(H375="已阻塞",0.25,0))))</f>
        <v/>
      </c>
      <c r="Q375" s="261" t="str"/>
    </row>
    <row r="376" ht="22" customHeight="1" s="48">
      <c r="A376" s="260" t="str"/>
      <c r="B376" s="260" t="str"/>
      <c r="C376" s="260" t="str"/>
      <c r="D376" s="260" t="str"/>
      <c r="E376" s="260" t="str"/>
      <c r="F376" s="260" t="str"/>
      <c r="G376" s="260" t="str"/>
      <c r="H376" s="302" t="str"/>
      <c r="I376" s="260" t="str"/>
      <c r="J376" s="260" t="str"/>
      <c r="K376" s="287" t="str"/>
      <c r="L376" s="287" t="str"/>
      <c r="M376" s="287" t="str"/>
      <c r="N376" s="260" t="str"/>
      <c r="O376" s="260" t="str"/>
      <c r="P376" s="286">
        <f>IF(H376="已完成",1,IF(H376="待审核",0.8,IF(H376="进行中",0.5,IF(H376="已阻塞",0.25,0))))</f>
        <v/>
      </c>
      <c r="Q376" s="260" t="str"/>
    </row>
    <row r="377" ht="22" customHeight="1" s="48">
      <c r="A377" s="261" t="str"/>
      <c r="B377" s="261" t="str"/>
      <c r="C377" s="261" t="str"/>
      <c r="D377" s="261" t="str"/>
      <c r="E377" s="261" t="str"/>
      <c r="F377" s="261" t="str"/>
      <c r="G377" s="261" t="str"/>
      <c r="H377" s="303" t="str"/>
      <c r="I377" s="261" t="str"/>
      <c r="J377" s="261" t="str"/>
      <c r="K377" s="285" t="str"/>
      <c r="L377" s="285" t="str"/>
      <c r="M377" s="285" t="str"/>
      <c r="N377" s="261" t="str"/>
      <c r="O377" s="261" t="str"/>
      <c r="P377" s="284">
        <f>IF(H377="已完成",1,IF(H377="待审核",0.8,IF(H377="进行中",0.5,IF(H377="已阻塞",0.25,0))))</f>
        <v/>
      </c>
      <c r="Q377" s="261" t="str"/>
    </row>
    <row r="378" ht="22" customHeight="1" s="48">
      <c r="A378" s="260" t="str"/>
      <c r="B378" s="260" t="str"/>
      <c r="C378" s="260" t="str"/>
      <c r="D378" s="260" t="str"/>
      <c r="E378" s="260" t="str"/>
      <c r="F378" s="260" t="str"/>
      <c r="G378" s="260" t="str"/>
      <c r="H378" s="302" t="str"/>
      <c r="I378" s="260" t="str"/>
      <c r="J378" s="260" t="str"/>
      <c r="K378" s="287" t="str"/>
      <c r="L378" s="287" t="str"/>
      <c r="M378" s="287" t="str"/>
      <c r="N378" s="260" t="str"/>
      <c r="O378" s="260" t="str"/>
      <c r="P378" s="286">
        <f>IF(H378="已完成",1,IF(H378="待审核",0.8,IF(H378="进行中",0.5,IF(H378="已阻塞",0.25,0))))</f>
        <v/>
      </c>
      <c r="Q378" s="260" t="str"/>
    </row>
    <row r="379" ht="22" customHeight="1" s="48">
      <c r="A379" s="261" t="str"/>
      <c r="B379" s="261" t="str"/>
      <c r="C379" s="261" t="str"/>
      <c r="D379" s="261" t="str"/>
      <c r="E379" s="261" t="str"/>
      <c r="F379" s="261" t="str"/>
      <c r="G379" s="261" t="str"/>
      <c r="H379" s="303" t="str"/>
      <c r="I379" s="261" t="str"/>
      <c r="J379" s="261" t="str"/>
      <c r="K379" s="285" t="str"/>
      <c r="L379" s="285" t="str"/>
      <c r="M379" s="285" t="str"/>
      <c r="N379" s="261" t="str"/>
      <c r="O379" s="261" t="str"/>
      <c r="P379" s="284">
        <f>IF(H379="已完成",1,IF(H379="待审核",0.8,IF(H379="进行中",0.5,IF(H379="已阻塞",0.25,0))))</f>
        <v/>
      </c>
      <c r="Q379" s="261" t="str"/>
    </row>
    <row r="380" ht="22" customHeight="1" s="48">
      <c r="A380" s="260" t="str"/>
      <c r="B380" s="260" t="str"/>
      <c r="C380" s="260" t="str"/>
      <c r="D380" s="260" t="str"/>
      <c r="E380" s="260" t="str"/>
      <c r="F380" s="260" t="str"/>
      <c r="G380" s="260" t="str"/>
      <c r="H380" s="302" t="str"/>
      <c r="I380" s="260" t="str"/>
      <c r="J380" s="260" t="str"/>
      <c r="K380" s="287" t="str"/>
      <c r="L380" s="287" t="str"/>
      <c r="M380" s="287" t="str"/>
      <c r="N380" s="260" t="str"/>
      <c r="O380" s="260" t="str"/>
      <c r="P380" s="286">
        <f>IF(H380="已完成",1,IF(H380="待审核",0.8,IF(H380="进行中",0.5,IF(H380="已阻塞",0.25,0))))</f>
        <v/>
      </c>
      <c r="Q380" s="260" t="str"/>
    </row>
    <row r="381" ht="22" customHeight="1" s="48">
      <c r="A381" s="261" t="str"/>
      <c r="B381" s="261" t="str"/>
      <c r="C381" s="261" t="str"/>
      <c r="D381" s="261" t="str"/>
      <c r="E381" s="261" t="str"/>
      <c r="F381" s="261" t="str"/>
      <c r="G381" s="261" t="str"/>
      <c r="H381" s="303" t="str"/>
      <c r="I381" s="261" t="str"/>
      <c r="J381" s="261" t="str"/>
      <c r="K381" s="285" t="str"/>
      <c r="L381" s="285" t="str"/>
      <c r="M381" s="285" t="str"/>
      <c r="N381" s="261" t="str"/>
      <c r="O381" s="261" t="str"/>
      <c r="P381" s="284">
        <f>IF(H381="已完成",1,IF(H381="待审核",0.8,IF(H381="进行中",0.5,IF(H381="已阻塞",0.25,0))))</f>
        <v/>
      </c>
      <c r="Q381" s="261" t="str"/>
    </row>
    <row r="382" ht="22" customHeight="1" s="48">
      <c r="A382" s="260" t="str"/>
      <c r="B382" s="260" t="str"/>
      <c r="C382" s="260" t="str"/>
      <c r="D382" s="260" t="str"/>
      <c r="E382" s="260" t="str"/>
      <c r="F382" s="260" t="str"/>
      <c r="G382" s="260" t="str"/>
      <c r="H382" s="302" t="str"/>
      <c r="I382" s="260" t="str"/>
      <c r="J382" s="260" t="str"/>
      <c r="K382" s="287" t="str"/>
      <c r="L382" s="287" t="str"/>
      <c r="M382" s="287" t="str"/>
      <c r="N382" s="260" t="str"/>
      <c r="O382" s="260" t="str"/>
      <c r="P382" s="286">
        <f>IF(H382="已完成",1,IF(H382="待审核",0.8,IF(H382="进行中",0.5,IF(H382="已阻塞",0.25,0))))</f>
        <v/>
      </c>
      <c r="Q382" s="260" t="str"/>
    </row>
    <row r="383" ht="22" customHeight="1" s="48">
      <c r="A383" s="261" t="str"/>
      <c r="B383" s="261" t="str"/>
      <c r="C383" s="261" t="str"/>
      <c r="D383" s="261" t="str"/>
      <c r="E383" s="261" t="str"/>
      <c r="F383" s="261" t="str"/>
      <c r="G383" s="261" t="str"/>
      <c r="H383" s="303" t="str"/>
      <c r="I383" s="261" t="str"/>
      <c r="J383" s="261" t="str"/>
      <c r="K383" s="285" t="str"/>
      <c r="L383" s="285" t="str"/>
      <c r="M383" s="285" t="str"/>
      <c r="N383" s="261" t="str"/>
      <c r="O383" s="261" t="str"/>
      <c r="P383" s="284">
        <f>IF(H383="已完成",1,IF(H383="待审核",0.8,IF(H383="进行中",0.5,IF(H383="已阻塞",0.25,0))))</f>
        <v/>
      </c>
      <c r="Q383" s="261" t="str"/>
    </row>
    <row r="384" ht="22" customHeight="1" s="48">
      <c r="A384" s="260" t="str"/>
      <c r="B384" s="260" t="str"/>
      <c r="C384" s="260" t="str"/>
      <c r="D384" s="260" t="str"/>
      <c r="E384" s="260" t="str"/>
      <c r="F384" s="260" t="str"/>
      <c r="G384" s="260" t="str"/>
      <c r="H384" s="302" t="str"/>
      <c r="I384" s="260" t="str"/>
      <c r="J384" s="260" t="str"/>
      <c r="K384" s="287" t="str"/>
      <c r="L384" s="287" t="str"/>
      <c r="M384" s="287" t="str"/>
      <c r="N384" s="260" t="str"/>
      <c r="O384" s="260" t="str"/>
      <c r="P384" s="286">
        <f>IF(H384="已完成",1,IF(H384="待审核",0.8,IF(H384="进行中",0.5,IF(H384="已阻塞",0.25,0))))</f>
        <v/>
      </c>
      <c r="Q384" s="260" t="str"/>
    </row>
    <row r="385" ht="22" customHeight="1" s="48">
      <c r="A385" s="261" t="str"/>
      <c r="B385" s="261" t="str"/>
      <c r="C385" s="261" t="str"/>
      <c r="D385" s="261" t="str"/>
      <c r="E385" s="261" t="str"/>
      <c r="F385" s="261" t="str"/>
      <c r="G385" s="261" t="str"/>
      <c r="H385" s="303" t="str"/>
      <c r="I385" s="261" t="str"/>
      <c r="J385" s="261" t="str"/>
      <c r="K385" s="285" t="str"/>
      <c r="L385" s="285" t="str"/>
      <c r="M385" s="285" t="str"/>
      <c r="N385" s="261" t="str"/>
      <c r="O385" s="261" t="str"/>
      <c r="P385" s="284">
        <f>IF(H385="已完成",1,IF(H385="待审核",0.8,IF(H385="进行中",0.5,IF(H385="已阻塞",0.25,0))))</f>
        <v/>
      </c>
      <c r="Q385" s="261" t="str"/>
    </row>
    <row r="386" ht="22" customHeight="1" s="48">
      <c r="A386" s="260" t="str"/>
      <c r="B386" s="260" t="str"/>
      <c r="C386" s="260" t="str"/>
      <c r="D386" s="260" t="str"/>
      <c r="E386" s="260" t="str"/>
      <c r="F386" s="260" t="str"/>
      <c r="G386" s="260" t="str"/>
      <c r="H386" s="302" t="str"/>
      <c r="I386" s="260" t="str"/>
      <c r="J386" s="260" t="str"/>
      <c r="K386" s="287" t="str"/>
      <c r="L386" s="287" t="str"/>
      <c r="M386" s="287" t="str"/>
      <c r="N386" s="260" t="str"/>
      <c r="O386" s="260" t="str"/>
      <c r="P386" s="286">
        <f>IF(H386="已完成",1,IF(H386="待审核",0.8,IF(H386="进行中",0.5,IF(H386="已阻塞",0.25,0))))</f>
        <v/>
      </c>
      <c r="Q386" s="260" t="str"/>
    </row>
    <row r="387" ht="22" customHeight="1" s="48">
      <c r="A387" s="261" t="str"/>
      <c r="B387" s="261" t="str"/>
      <c r="C387" s="261" t="str"/>
      <c r="D387" s="261" t="str"/>
      <c r="E387" s="261" t="str"/>
      <c r="F387" s="261" t="str"/>
      <c r="G387" s="261" t="str"/>
      <c r="H387" s="303" t="str"/>
      <c r="I387" s="261" t="str"/>
      <c r="J387" s="261" t="str"/>
      <c r="K387" s="285" t="str"/>
      <c r="L387" s="285" t="str"/>
      <c r="M387" s="285" t="str"/>
      <c r="N387" s="261" t="str"/>
      <c r="O387" s="261" t="str"/>
      <c r="P387" s="284">
        <f>IF(H387="已完成",1,IF(H387="待审核",0.8,IF(H387="进行中",0.5,IF(H387="已阻塞",0.25,0))))</f>
        <v/>
      </c>
      <c r="Q387" s="261" t="str"/>
    </row>
    <row r="388" ht="22" customHeight="1" s="48">
      <c r="A388" s="260" t="str"/>
      <c r="B388" s="260" t="str"/>
      <c r="C388" s="260" t="str"/>
      <c r="D388" s="260" t="str"/>
      <c r="E388" s="260" t="str"/>
      <c r="F388" s="260" t="str"/>
      <c r="G388" s="260" t="str"/>
      <c r="H388" s="302" t="str"/>
      <c r="I388" s="260" t="str"/>
      <c r="J388" s="260" t="str"/>
      <c r="K388" s="287" t="str"/>
      <c r="L388" s="287" t="str"/>
      <c r="M388" s="287" t="str"/>
      <c r="N388" s="260" t="str"/>
      <c r="O388" s="260" t="str"/>
      <c r="P388" s="286">
        <f>IF(H388="已完成",1,IF(H388="待审核",0.8,IF(H388="进行中",0.5,IF(H388="已阻塞",0.25,0))))</f>
        <v/>
      </c>
      <c r="Q388" s="260" t="str"/>
    </row>
    <row r="389" ht="22" customHeight="1" s="48">
      <c r="A389" s="261" t="str"/>
      <c r="B389" s="261" t="str"/>
      <c r="C389" s="261" t="str"/>
      <c r="D389" s="261" t="str"/>
      <c r="E389" s="261" t="str"/>
      <c r="F389" s="261" t="str"/>
      <c r="G389" s="261" t="str"/>
      <c r="H389" s="303" t="str"/>
      <c r="I389" s="261" t="str"/>
      <c r="J389" s="261" t="str"/>
      <c r="K389" s="285" t="str"/>
      <c r="L389" s="285" t="str"/>
      <c r="M389" s="285" t="str"/>
      <c r="N389" s="261" t="str"/>
      <c r="O389" s="261" t="str"/>
      <c r="P389" s="284">
        <f>IF(H389="已完成",1,IF(H389="待审核",0.8,IF(H389="进行中",0.5,IF(H389="已阻塞",0.25,0))))</f>
        <v/>
      </c>
      <c r="Q389" s="261" t="str"/>
    </row>
    <row r="390" ht="22" customHeight="1" s="48">
      <c r="A390" s="260" t="str"/>
      <c r="B390" s="260" t="str"/>
      <c r="C390" s="260" t="str"/>
      <c r="D390" s="260" t="str"/>
      <c r="E390" s="260" t="str"/>
      <c r="F390" s="260" t="str"/>
      <c r="G390" s="260" t="str"/>
      <c r="H390" s="302" t="str"/>
      <c r="I390" s="260" t="str"/>
      <c r="J390" s="260" t="str"/>
      <c r="K390" s="287" t="str"/>
      <c r="L390" s="287" t="str"/>
      <c r="M390" s="287" t="str"/>
      <c r="N390" s="260" t="str"/>
      <c r="O390" s="260" t="str"/>
      <c r="P390" s="286">
        <f>IF(H390="已完成",1,IF(H390="待审核",0.8,IF(H390="进行中",0.5,IF(H390="已阻塞",0.25,0))))</f>
        <v/>
      </c>
      <c r="Q390" s="260" t="str"/>
    </row>
    <row r="391" ht="22" customHeight="1" s="48">
      <c r="A391" s="261" t="str"/>
      <c r="B391" s="261" t="str"/>
      <c r="C391" s="261" t="str"/>
      <c r="D391" s="261" t="str"/>
      <c r="E391" s="261" t="str"/>
      <c r="F391" s="261" t="str"/>
      <c r="G391" s="261" t="str"/>
      <c r="H391" s="303" t="str"/>
      <c r="I391" s="261" t="str"/>
      <c r="J391" s="261" t="str"/>
      <c r="K391" s="285" t="str"/>
      <c r="L391" s="285" t="str"/>
      <c r="M391" s="285" t="str"/>
      <c r="N391" s="261" t="str"/>
      <c r="O391" s="261" t="str"/>
      <c r="P391" s="284">
        <f>IF(H391="已完成",1,IF(H391="待审核",0.8,IF(H391="进行中",0.5,IF(H391="已阻塞",0.25,0))))</f>
        <v/>
      </c>
      <c r="Q391" s="261" t="str"/>
    </row>
    <row r="392" ht="22" customHeight="1" s="48">
      <c r="A392" s="260" t="str"/>
      <c r="B392" s="260" t="str"/>
      <c r="C392" s="260" t="str"/>
      <c r="D392" s="260" t="str"/>
      <c r="E392" s="260" t="str"/>
      <c r="F392" s="260" t="str"/>
      <c r="G392" s="260" t="str"/>
      <c r="H392" s="302" t="str"/>
      <c r="I392" s="260" t="str"/>
      <c r="J392" s="260" t="str"/>
      <c r="K392" s="287" t="str"/>
      <c r="L392" s="287" t="str"/>
      <c r="M392" s="287" t="str"/>
      <c r="N392" s="260" t="str"/>
      <c r="O392" s="260" t="str"/>
      <c r="P392" s="286">
        <f>IF(H392="已完成",1,IF(H392="待审核",0.8,IF(H392="进行中",0.5,IF(H392="已阻塞",0.25,0))))</f>
        <v/>
      </c>
      <c r="Q392" s="260" t="str"/>
    </row>
    <row r="393" ht="22" customHeight="1" s="48">
      <c r="A393" s="261" t="str"/>
      <c r="B393" s="261" t="str"/>
      <c r="C393" s="261" t="str"/>
      <c r="D393" s="261" t="str"/>
      <c r="E393" s="261" t="str"/>
      <c r="F393" s="261" t="str"/>
      <c r="G393" s="261" t="str"/>
      <c r="H393" s="303" t="str"/>
      <c r="I393" s="261" t="str"/>
      <c r="J393" s="261" t="str"/>
      <c r="K393" s="285" t="str"/>
      <c r="L393" s="285" t="str"/>
      <c r="M393" s="285" t="str"/>
      <c r="N393" s="261" t="str"/>
      <c r="O393" s="261" t="str"/>
      <c r="P393" s="284">
        <f>IF(H393="已完成",1,IF(H393="待审核",0.8,IF(H393="进行中",0.5,IF(H393="已阻塞",0.25,0))))</f>
        <v/>
      </c>
      <c r="Q393" s="261" t="str"/>
    </row>
    <row r="394" ht="22" customHeight="1" s="48">
      <c r="A394" s="260" t="str"/>
      <c r="B394" s="260" t="str"/>
      <c r="C394" s="260" t="str"/>
      <c r="D394" s="260" t="str"/>
      <c r="E394" s="260" t="str"/>
      <c r="F394" s="260" t="str"/>
      <c r="G394" s="260" t="str"/>
      <c r="H394" s="302" t="str"/>
      <c r="I394" s="260" t="str"/>
      <c r="J394" s="260" t="str"/>
      <c r="K394" s="287" t="str"/>
      <c r="L394" s="287" t="str"/>
      <c r="M394" s="287" t="str"/>
      <c r="N394" s="260" t="str"/>
      <c r="O394" s="260" t="str"/>
      <c r="P394" s="286">
        <f>IF(H394="已完成",1,IF(H394="待审核",0.8,IF(H394="进行中",0.5,IF(H394="已阻塞",0.25,0))))</f>
        <v/>
      </c>
      <c r="Q394" s="260" t="str"/>
    </row>
    <row r="395" ht="22" customHeight="1" s="48">
      <c r="A395" s="261" t="str"/>
      <c r="B395" s="261" t="str"/>
      <c r="C395" s="261" t="str"/>
      <c r="D395" s="261" t="str"/>
      <c r="E395" s="261" t="str"/>
      <c r="F395" s="261" t="str"/>
      <c r="G395" s="261" t="str"/>
      <c r="H395" s="303" t="str"/>
      <c r="I395" s="261" t="str"/>
      <c r="J395" s="261" t="str"/>
      <c r="K395" s="285" t="str"/>
      <c r="L395" s="285" t="str"/>
      <c r="M395" s="285" t="str"/>
      <c r="N395" s="261" t="str"/>
      <c r="O395" s="261" t="str"/>
      <c r="P395" s="284">
        <f>IF(H395="已完成",1,IF(H395="待审核",0.8,IF(H395="进行中",0.5,IF(H395="已阻塞",0.25,0))))</f>
        <v/>
      </c>
      <c r="Q395" s="261" t="str"/>
    </row>
    <row r="396" ht="22" customHeight="1" s="48">
      <c r="A396" s="260" t="str"/>
      <c r="B396" s="260" t="str"/>
      <c r="C396" s="260" t="str"/>
      <c r="D396" s="260" t="str"/>
      <c r="E396" s="260" t="str"/>
      <c r="F396" s="260" t="str"/>
      <c r="G396" s="260" t="str"/>
      <c r="H396" s="302" t="str"/>
      <c r="I396" s="260" t="str"/>
      <c r="J396" s="260" t="str"/>
      <c r="K396" s="287" t="str"/>
      <c r="L396" s="287" t="str"/>
      <c r="M396" s="287" t="str"/>
      <c r="N396" s="260" t="str"/>
      <c r="O396" s="260" t="str"/>
      <c r="P396" s="286">
        <f>IF(H396="已完成",1,IF(H396="待审核",0.8,IF(H396="进行中",0.5,IF(H396="已阻塞",0.25,0))))</f>
        <v/>
      </c>
      <c r="Q396" s="260" t="str"/>
    </row>
    <row r="397" ht="22" customHeight="1" s="48">
      <c r="A397" s="261" t="str"/>
      <c r="B397" s="261" t="str"/>
      <c r="C397" s="261" t="str"/>
      <c r="D397" s="261" t="str"/>
      <c r="E397" s="261" t="str"/>
      <c r="F397" s="261" t="str"/>
      <c r="G397" s="261" t="str"/>
      <c r="H397" s="303" t="str"/>
      <c r="I397" s="261" t="str"/>
      <c r="J397" s="261" t="str"/>
      <c r="K397" s="285" t="str"/>
      <c r="L397" s="285" t="str"/>
      <c r="M397" s="285" t="str"/>
      <c r="N397" s="261" t="str"/>
      <c r="O397" s="261" t="str"/>
      <c r="P397" s="284">
        <f>IF(H397="已完成",1,IF(H397="待审核",0.8,IF(H397="进行中",0.5,IF(H397="已阻塞",0.25,0))))</f>
        <v/>
      </c>
      <c r="Q397" s="261" t="str"/>
    </row>
    <row r="398" ht="22" customHeight="1" s="48">
      <c r="A398" s="260" t="str"/>
      <c r="B398" s="260" t="str"/>
      <c r="C398" s="260" t="str"/>
      <c r="D398" s="260" t="str"/>
      <c r="E398" s="260" t="str"/>
      <c r="F398" s="260" t="str"/>
      <c r="G398" s="260" t="str"/>
      <c r="H398" s="302" t="str"/>
      <c r="I398" s="260" t="str"/>
      <c r="J398" s="260" t="str"/>
      <c r="K398" s="287" t="str"/>
      <c r="L398" s="287" t="str"/>
      <c r="M398" s="287" t="str"/>
      <c r="N398" s="260" t="str"/>
      <c r="O398" s="260" t="str"/>
      <c r="P398" s="286">
        <f>IF(H398="已完成",1,IF(H398="待审核",0.8,IF(H398="进行中",0.5,IF(H398="已阻塞",0.25,0))))</f>
        <v/>
      </c>
      <c r="Q398" s="260" t="str"/>
    </row>
    <row r="399" ht="22" customHeight="1" s="48">
      <c r="A399" s="261" t="str"/>
      <c r="B399" s="261" t="str"/>
      <c r="C399" s="261" t="str"/>
      <c r="D399" s="261" t="str"/>
      <c r="E399" s="261" t="str"/>
      <c r="F399" s="261" t="str"/>
      <c r="G399" s="261" t="str"/>
      <c r="H399" s="303" t="str"/>
      <c r="I399" s="261" t="str"/>
      <c r="J399" s="261" t="str"/>
      <c r="K399" s="285" t="str"/>
      <c r="L399" s="285" t="str"/>
      <c r="M399" s="285" t="str"/>
      <c r="N399" s="261" t="str"/>
      <c r="O399" s="261" t="str"/>
      <c r="P399" s="284">
        <f>IF(H399="已完成",1,IF(H399="待审核",0.8,IF(H399="进行中",0.5,IF(H399="已阻塞",0.25,0))))</f>
        <v/>
      </c>
      <c r="Q399" s="261" t="str"/>
    </row>
    <row r="400" ht="22" customHeight="1" s="48">
      <c r="A400" s="260" t="str"/>
      <c r="B400" s="260" t="str"/>
      <c r="C400" s="260" t="str"/>
      <c r="D400" s="260" t="str"/>
      <c r="E400" s="260" t="str"/>
      <c r="F400" s="260" t="str"/>
      <c r="G400" s="260" t="str"/>
      <c r="H400" s="302" t="str"/>
      <c r="I400" s="260" t="str"/>
      <c r="J400" s="260" t="str"/>
      <c r="K400" s="287" t="str"/>
      <c r="L400" s="287" t="str"/>
      <c r="M400" s="287" t="str"/>
      <c r="N400" s="260" t="str"/>
      <c r="O400" s="260" t="str"/>
      <c r="P400" s="286">
        <f>IF(H400="已完成",1,IF(H400="待审核",0.8,IF(H400="进行中",0.5,IF(H400="已阻塞",0.25,0))))</f>
        <v/>
      </c>
      <c r="Q400" s="260" t="str"/>
    </row>
    <row r="401" ht="22" customHeight="1" s="48">
      <c r="A401" s="261" t="str"/>
      <c r="B401" s="261" t="str"/>
      <c r="C401" s="261" t="str"/>
      <c r="D401" s="261" t="str"/>
      <c r="E401" s="261" t="str"/>
      <c r="F401" s="261" t="str"/>
      <c r="G401" s="261" t="str"/>
      <c r="H401" s="303" t="str"/>
      <c r="I401" s="261" t="str"/>
      <c r="J401" s="261" t="str"/>
      <c r="K401" s="285" t="str"/>
      <c r="L401" s="285" t="str"/>
      <c r="M401" s="285" t="str"/>
      <c r="N401" s="261" t="str"/>
      <c r="O401" s="261" t="str"/>
      <c r="P401" s="284">
        <f>IF(H401="已完成",1,IF(H401="待审核",0.8,IF(H401="进行中",0.5,IF(H401="已阻塞",0.25,0))))</f>
        <v/>
      </c>
      <c r="Q401" s="261" t="str"/>
    </row>
    <row r="402" ht="22" customHeight="1" s="48">
      <c r="A402" s="260" t="str"/>
      <c r="B402" s="260" t="str"/>
      <c r="C402" s="260" t="str"/>
      <c r="D402" s="260" t="str"/>
      <c r="E402" s="260" t="str"/>
      <c r="F402" s="260" t="str"/>
      <c r="G402" s="260" t="str"/>
      <c r="H402" s="302" t="str"/>
      <c r="I402" s="260" t="str"/>
      <c r="J402" s="260" t="str"/>
      <c r="K402" s="287" t="str"/>
      <c r="L402" s="287" t="str"/>
      <c r="M402" s="287" t="str"/>
      <c r="N402" s="260" t="str"/>
      <c r="O402" s="260" t="str"/>
      <c r="P402" s="286">
        <f>IF(H402="已完成",1,IF(H402="待审核",0.8,IF(H402="进行中",0.5,IF(H402="已阻塞",0.25,0))))</f>
        <v/>
      </c>
      <c r="Q402" s="260" t="str"/>
    </row>
    <row r="403" ht="22" customHeight="1" s="48">
      <c r="A403" s="261" t="str"/>
      <c r="B403" s="261" t="str"/>
      <c r="C403" s="261" t="str"/>
      <c r="D403" s="261" t="str"/>
      <c r="E403" s="261" t="str"/>
      <c r="F403" s="261" t="str"/>
      <c r="G403" s="261" t="str"/>
      <c r="H403" s="303" t="str"/>
      <c r="I403" s="261" t="str"/>
      <c r="J403" s="261" t="str"/>
      <c r="K403" s="285" t="str"/>
      <c r="L403" s="285" t="str"/>
      <c r="M403" s="285" t="str"/>
      <c r="N403" s="261" t="str"/>
      <c r="O403" s="261" t="str"/>
      <c r="P403" s="284">
        <f>IF(H403="已完成",1,IF(H403="待审核",0.8,IF(H403="进行中",0.5,IF(H403="已阻塞",0.25,0))))</f>
        <v/>
      </c>
      <c r="Q403" s="261" t="str"/>
    </row>
    <row r="404" ht="22" customHeight="1" s="48">
      <c r="A404" s="260" t="str"/>
      <c r="B404" s="260" t="str"/>
      <c r="C404" s="260" t="str"/>
      <c r="D404" s="260" t="str"/>
      <c r="E404" s="260" t="str"/>
      <c r="F404" s="260" t="str"/>
      <c r="G404" s="260" t="str"/>
      <c r="H404" s="302" t="str"/>
      <c r="I404" s="260" t="str"/>
      <c r="J404" s="260" t="str"/>
      <c r="K404" s="287" t="str"/>
      <c r="L404" s="287" t="str"/>
      <c r="M404" s="287" t="str"/>
      <c r="N404" s="260" t="str"/>
      <c r="O404" s="260" t="str"/>
      <c r="P404" s="286">
        <f>IF(H404="已完成",1,IF(H404="待审核",0.8,IF(H404="进行中",0.5,IF(H404="已阻塞",0.25,0))))</f>
        <v/>
      </c>
      <c r="Q404" s="260" t="str"/>
    </row>
    <row r="405" ht="22" customHeight="1" s="48">
      <c r="A405" s="261" t="str"/>
      <c r="B405" s="261" t="str"/>
      <c r="C405" s="261" t="str"/>
      <c r="D405" s="261" t="str"/>
      <c r="E405" s="261" t="str"/>
      <c r="F405" s="261" t="str"/>
      <c r="G405" s="261" t="str"/>
      <c r="H405" s="303" t="str"/>
      <c r="I405" s="261" t="str"/>
      <c r="J405" s="261" t="str"/>
      <c r="K405" s="285" t="str"/>
      <c r="L405" s="285" t="str"/>
      <c r="M405" s="285" t="str"/>
      <c r="N405" s="261" t="str"/>
      <c r="O405" s="261" t="str"/>
      <c r="P405" s="284">
        <f>IF(H405="已完成",1,IF(H405="待审核",0.8,IF(H405="进行中",0.5,IF(H405="已阻塞",0.25,0))))</f>
        <v/>
      </c>
      <c r="Q405" s="261" t="str"/>
    </row>
    <row r="406" ht="22" customHeight="1" s="48">
      <c r="A406" s="260" t="str"/>
      <c r="B406" s="260" t="str"/>
      <c r="C406" s="260" t="str"/>
      <c r="D406" s="260" t="str"/>
      <c r="E406" s="260" t="str"/>
      <c r="F406" s="260" t="str"/>
      <c r="G406" s="260" t="str"/>
      <c r="H406" s="302" t="str"/>
      <c r="I406" s="260" t="str"/>
      <c r="J406" s="260" t="str"/>
      <c r="K406" s="287" t="str"/>
      <c r="L406" s="287" t="str"/>
      <c r="M406" s="287" t="str"/>
      <c r="N406" s="260" t="str"/>
      <c r="O406" s="260" t="str"/>
      <c r="P406" s="286">
        <f>IF(H406="已完成",1,IF(H406="待审核",0.8,IF(H406="进行中",0.5,IF(H406="已阻塞",0.25,0))))</f>
        <v/>
      </c>
      <c r="Q406" s="260" t="str"/>
    </row>
    <row r="407" ht="22" customHeight="1" s="48">
      <c r="A407" s="261" t="str"/>
      <c r="B407" s="261" t="str"/>
      <c r="C407" s="261" t="str"/>
      <c r="D407" s="261" t="str"/>
      <c r="E407" s="261" t="str"/>
      <c r="F407" s="261" t="str"/>
      <c r="G407" s="261" t="str"/>
      <c r="H407" s="303" t="str"/>
      <c r="I407" s="261" t="str"/>
      <c r="J407" s="261" t="str"/>
      <c r="K407" s="285" t="str"/>
      <c r="L407" s="285" t="str"/>
      <c r="M407" s="285" t="str"/>
      <c r="N407" s="261" t="str"/>
      <c r="O407" s="261" t="str"/>
      <c r="P407" s="284">
        <f>IF(H407="已完成",1,IF(H407="待审核",0.8,IF(H407="进行中",0.5,IF(H407="已阻塞",0.25,0))))</f>
        <v/>
      </c>
      <c r="Q407" s="261" t="str"/>
    </row>
    <row r="408" ht="22" customHeight="1" s="48">
      <c r="A408" s="260" t="str"/>
      <c r="B408" s="260" t="str"/>
      <c r="C408" s="260" t="str"/>
      <c r="D408" s="260" t="str"/>
      <c r="E408" s="260" t="str"/>
      <c r="F408" s="260" t="str"/>
      <c r="G408" s="260" t="str"/>
      <c r="H408" s="302" t="str"/>
      <c r="I408" s="260" t="str"/>
      <c r="J408" s="260" t="str"/>
      <c r="K408" s="287" t="str"/>
      <c r="L408" s="287" t="str"/>
      <c r="M408" s="287" t="str"/>
      <c r="N408" s="260" t="str"/>
      <c r="O408" s="260" t="str"/>
      <c r="P408" s="286">
        <f>IF(H408="已完成",1,IF(H408="待审核",0.8,IF(H408="进行中",0.5,IF(H408="已阻塞",0.25,0))))</f>
        <v/>
      </c>
      <c r="Q408" s="260" t="str"/>
    </row>
    <row r="409" ht="22" customHeight="1" s="48">
      <c r="A409" s="261" t="str"/>
      <c r="B409" s="261" t="str"/>
      <c r="C409" s="261" t="str"/>
      <c r="D409" s="261" t="str"/>
      <c r="E409" s="261" t="str"/>
      <c r="F409" s="261" t="str"/>
      <c r="G409" s="261" t="str"/>
      <c r="H409" s="303" t="str"/>
      <c r="I409" s="261" t="str"/>
      <c r="J409" s="261" t="str"/>
      <c r="K409" s="285" t="str"/>
      <c r="L409" s="285" t="str"/>
      <c r="M409" s="285" t="str"/>
      <c r="N409" s="261" t="str"/>
      <c r="O409" s="261" t="str"/>
      <c r="P409" s="284">
        <f>IF(H409="已完成",1,IF(H409="待审核",0.8,IF(H409="进行中",0.5,IF(H409="已阻塞",0.25,0))))</f>
        <v/>
      </c>
      <c r="Q409" s="261" t="str"/>
    </row>
    <row r="410" ht="22" customHeight="1" s="48">
      <c r="A410" s="260" t="str"/>
      <c r="B410" s="260" t="str"/>
      <c r="C410" s="260" t="str"/>
      <c r="D410" s="260" t="str"/>
      <c r="E410" s="260" t="str"/>
      <c r="F410" s="260" t="str"/>
      <c r="G410" s="260" t="str"/>
      <c r="H410" s="302" t="str"/>
      <c r="I410" s="260" t="str"/>
      <c r="J410" s="260" t="str"/>
      <c r="K410" s="287" t="str"/>
      <c r="L410" s="287" t="str"/>
      <c r="M410" s="287" t="str"/>
      <c r="N410" s="260" t="str"/>
      <c r="O410" s="260" t="str"/>
      <c r="P410" s="286">
        <f>IF(H410="已完成",1,IF(H410="待审核",0.8,IF(H410="进行中",0.5,IF(H410="已阻塞",0.25,0))))</f>
        <v/>
      </c>
      <c r="Q410" s="260" t="str"/>
    </row>
    <row r="411" ht="22" customHeight="1" s="48">
      <c r="A411" s="261" t="str"/>
      <c r="B411" s="261" t="str"/>
      <c r="C411" s="261" t="str"/>
      <c r="D411" s="261" t="str"/>
      <c r="E411" s="261" t="str"/>
      <c r="F411" s="261" t="str"/>
      <c r="G411" s="261" t="str"/>
      <c r="H411" s="303" t="str"/>
      <c r="I411" s="261" t="str"/>
      <c r="J411" s="261" t="str"/>
      <c r="K411" s="285" t="str"/>
      <c r="L411" s="285" t="str"/>
      <c r="M411" s="285" t="str"/>
      <c r="N411" s="261" t="str"/>
      <c r="O411" s="261" t="str"/>
      <c r="P411" s="284">
        <f>IF(H411="已完成",1,IF(H411="待审核",0.8,IF(H411="进行中",0.5,IF(H411="已阻塞",0.25,0))))</f>
        <v/>
      </c>
      <c r="Q411" s="261" t="str"/>
    </row>
    <row r="412" ht="22" customHeight="1" s="48">
      <c r="A412" s="260" t="str"/>
      <c r="B412" s="260" t="str"/>
      <c r="C412" s="260" t="str"/>
      <c r="D412" s="260" t="str"/>
      <c r="E412" s="260" t="str"/>
      <c r="F412" s="260" t="str"/>
      <c r="G412" s="260" t="str"/>
      <c r="H412" s="302" t="str"/>
      <c r="I412" s="260" t="str"/>
      <c r="J412" s="260" t="str"/>
      <c r="K412" s="287" t="str"/>
      <c r="L412" s="287" t="str"/>
      <c r="M412" s="287" t="str"/>
      <c r="N412" s="260" t="str"/>
      <c r="O412" s="260" t="str"/>
      <c r="P412" s="286">
        <f>IF(H412="已完成",1,IF(H412="待审核",0.8,IF(H412="进行中",0.5,IF(H412="已阻塞",0.25,0))))</f>
        <v/>
      </c>
      <c r="Q412" s="260" t="str"/>
    </row>
    <row r="413" ht="22" customHeight="1" s="48">
      <c r="A413" s="261" t="str"/>
      <c r="B413" s="261" t="str"/>
      <c r="C413" s="261" t="str"/>
      <c r="D413" s="261" t="str"/>
      <c r="E413" s="261" t="str"/>
      <c r="F413" s="261" t="str"/>
      <c r="G413" s="261" t="str"/>
      <c r="H413" s="303" t="str"/>
      <c r="I413" s="261" t="str"/>
      <c r="J413" s="261" t="str"/>
      <c r="K413" s="285" t="str"/>
      <c r="L413" s="285" t="str"/>
      <c r="M413" s="285" t="str"/>
      <c r="N413" s="261" t="str"/>
      <c r="O413" s="261" t="str"/>
      <c r="P413" s="284">
        <f>IF(H413="已完成",1,IF(H413="待审核",0.8,IF(H413="进行中",0.5,IF(H413="已阻塞",0.25,0))))</f>
        <v/>
      </c>
      <c r="Q413" s="261" t="str"/>
    </row>
    <row r="414" ht="22" customHeight="1" s="48">
      <c r="A414" s="260" t="str"/>
      <c r="B414" s="260" t="str"/>
      <c r="C414" s="260" t="str"/>
      <c r="D414" s="260" t="str"/>
      <c r="E414" s="260" t="str"/>
      <c r="F414" s="260" t="str"/>
      <c r="G414" s="260" t="str"/>
      <c r="H414" s="302" t="str"/>
      <c r="I414" s="260" t="str"/>
      <c r="J414" s="260" t="str"/>
      <c r="K414" s="287" t="str"/>
      <c r="L414" s="287" t="str"/>
      <c r="M414" s="287" t="str"/>
      <c r="N414" s="260" t="str"/>
      <c r="O414" s="260" t="str"/>
      <c r="P414" s="286">
        <f>IF(H414="已完成",1,IF(H414="待审核",0.8,IF(H414="进行中",0.5,IF(H414="已阻塞",0.25,0))))</f>
        <v/>
      </c>
      <c r="Q414" s="260" t="str"/>
    </row>
    <row r="415" ht="22" customHeight="1" s="48">
      <c r="A415" s="261" t="str"/>
      <c r="B415" s="261" t="str"/>
      <c r="C415" s="261" t="str"/>
      <c r="D415" s="261" t="str"/>
      <c r="E415" s="261" t="str"/>
      <c r="F415" s="261" t="str"/>
      <c r="G415" s="261" t="str"/>
      <c r="H415" s="303" t="str"/>
      <c r="I415" s="261" t="str"/>
      <c r="J415" s="261" t="str"/>
      <c r="K415" s="285" t="str"/>
      <c r="L415" s="285" t="str"/>
      <c r="M415" s="285" t="str"/>
      <c r="N415" s="261" t="str"/>
      <c r="O415" s="261" t="str"/>
      <c r="P415" s="284">
        <f>IF(H415="已完成",1,IF(H415="待审核",0.8,IF(H415="进行中",0.5,IF(H415="已阻塞",0.25,0))))</f>
        <v/>
      </c>
      <c r="Q415" s="261" t="str"/>
    </row>
    <row r="416" ht="22" customHeight="1" s="48">
      <c r="A416" s="260" t="str"/>
      <c r="B416" s="260" t="str"/>
      <c r="C416" s="260" t="str"/>
      <c r="D416" s="260" t="str"/>
      <c r="E416" s="260" t="str"/>
      <c r="F416" s="260" t="str"/>
      <c r="G416" s="260" t="str"/>
      <c r="H416" s="302" t="str"/>
      <c r="I416" s="260" t="str"/>
      <c r="J416" s="260" t="str"/>
      <c r="K416" s="287" t="str"/>
      <c r="L416" s="287" t="str"/>
      <c r="M416" s="287" t="str"/>
      <c r="N416" s="260" t="str"/>
      <c r="O416" s="260" t="str"/>
      <c r="P416" s="286">
        <f>IF(H416="已完成",1,IF(H416="待审核",0.8,IF(H416="进行中",0.5,IF(H416="已阻塞",0.25,0))))</f>
        <v/>
      </c>
      <c r="Q416" s="260" t="str"/>
    </row>
    <row r="417" ht="22" customHeight="1" s="48">
      <c r="A417" s="261" t="str"/>
      <c r="B417" s="261" t="str"/>
      <c r="C417" s="261" t="str"/>
      <c r="D417" s="261" t="str"/>
      <c r="E417" s="261" t="str"/>
      <c r="F417" s="261" t="str"/>
      <c r="G417" s="261" t="str"/>
      <c r="H417" s="303" t="str"/>
      <c r="I417" s="261" t="str"/>
      <c r="J417" s="261" t="str"/>
      <c r="K417" s="285" t="str"/>
      <c r="L417" s="285" t="str"/>
      <c r="M417" s="285" t="str"/>
      <c r="N417" s="261" t="str"/>
      <c r="O417" s="261" t="str"/>
      <c r="P417" s="284">
        <f>IF(H417="已完成",1,IF(H417="待审核",0.8,IF(H417="进行中",0.5,IF(H417="已阻塞",0.25,0))))</f>
        <v/>
      </c>
      <c r="Q417" s="261" t="str"/>
    </row>
    <row r="418" ht="22" customHeight="1" s="48">
      <c r="A418" s="260" t="str"/>
      <c r="B418" s="260" t="str"/>
      <c r="C418" s="260" t="str"/>
      <c r="D418" s="260" t="str"/>
      <c r="E418" s="260" t="str"/>
      <c r="F418" s="260" t="str"/>
      <c r="G418" s="260" t="str"/>
      <c r="H418" s="302" t="str"/>
      <c r="I418" s="260" t="str"/>
      <c r="J418" s="260" t="str"/>
      <c r="K418" s="287" t="str"/>
      <c r="L418" s="287" t="str"/>
      <c r="M418" s="287" t="str"/>
      <c r="N418" s="260" t="str"/>
      <c r="O418" s="260" t="str"/>
      <c r="P418" s="286">
        <f>IF(H418="已完成",1,IF(H418="待审核",0.8,IF(H418="进行中",0.5,IF(H418="已阻塞",0.25,0))))</f>
        <v/>
      </c>
      <c r="Q418" s="260" t="str"/>
    </row>
    <row r="419" ht="22" customHeight="1" s="48">
      <c r="A419" s="261" t="str"/>
      <c r="B419" s="261" t="str"/>
      <c r="C419" s="261" t="str"/>
      <c r="D419" s="261" t="str"/>
      <c r="E419" s="261" t="str"/>
      <c r="F419" s="261" t="str"/>
      <c r="G419" s="261" t="str"/>
      <c r="H419" s="303" t="str"/>
      <c r="I419" s="261" t="str"/>
      <c r="J419" s="261" t="str"/>
      <c r="K419" s="285" t="str"/>
      <c r="L419" s="285" t="str"/>
      <c r="M419" s="285" t="str"/>
      <c r="N419" s="261" t="str"/>
      <c r="O419" s="261" t="str"/>
      <c r="P419" s="284">
        <f>IF(H419="已完成",1,IF(H419="待审核",0.8,IF(H419="进行中",0.5,IF(H419="已阻塞",0.25,0))))</f>
        <v/>
      </c>
      <c r="Q419" s="261" t="str"/>
    </row>
    <row r="420" ht="22" customHeight="1" s="48">
      <c r="A420" s="260" t="str"/>
      <c r="B420" s="260" t="str"/>
      <c r="C420" s="260" t="str"/>
      <c r="D420" s="260" t="str"/>
      <c r="E420" s="260" t="str"/>
      <c r="F420" s="260" t="str"/>
      <c r="G420" s="260" t="str"/>
      <c r="H420" s="302" t="str"/>
      <c r="I420" s="260" t="str"/>
      <c r="J420" s="260" t="str"/>
      <c r="K420" s="287" t="str"/>
      <c r="L420" s="287" t="str"/>
      <c r="M420" s="287" t="str"/>
      <c r="N420" s="260" t="str"/>
      <c r="O420" s="260" t="str"/>
      <c r="P420" s="286">
        <f>IF(H420="已完成",1,IF(H420="待审核",0.8,IF(H420="进行中",0.5,IF(H420="已阻塞",0.25,0))))</f>
        <v/>
      </c>
      <c r="Q420" s="260" t="str"/>
    </row>
    <row r="421" ht="22" customHeight="1" s="48">
      <c r="A421" s="261" t="str"/>
      <c r="B421" s="261" t="str"/>
      <c r="C421" s="261" t="str"/>
      <c r="D421" s="261" t="str"/>
      <c r="E421" s="261" t="str"/>
      <c r="F421" s="261" t="str"/>
      <c r="G421" s="261" t="str"/>
      <c r="H421" s="303" t="str"/>
      <c r="I421" s="261" t="str"/>
      <c r="J421" s="261" t="str"/>
      <c r="K421" s="285" t="str"/>
      <c r="L421" s="285" t="str"/>
      <c r="M421" s="285" t="str"/>
      <c r="N421" s="261" t="str"/>
      <c r="O421" s="261" t="str"/>
      <c r="P421" s="284">
        <f>IF(H421="已完成",1,IF(H421="待审核",0.8,IF(H421="进行中",0.5,IF(H421="已阻塞",0.25,0))))</f>
        <v/>
      </c>
      <c r="Q421" s="261" t="str"/>
    </row>
    <row r="422" ht="22" customHeight="1" s="48">
      <c r="A422" s="260" t="str"/>
      <c r="B422" s="260" t="str"/>
      <c r="C422" s="260" t="str"/>
      <c r="D422" s="260" t="str"/>
      <c r="E422" s="260" t="str"/>
      <c r="F422" s="260" t="str"/>
      <c r="G422" s="260" t="str"/>
      <c r="H422" s="302" t="str"/>
      <c r="I422" s="260" t="str"/>
      <c r="J422" s="260" t="str"/>
      <c r="K422" s="287" t="str"/>
      <c r="L422" s="287" t="str"/>
      <c r="M422" s="287" t="str"/>
      <c r="N422" s="260" t="str"/>
      <c r="O422" s="260" t="str"/>
      <c r="P422" s="286">
        <f>IF(H422="已完成",1,IF(H422="待审核",0.8,IF(H422="进行中",0.5,IF(H422="已阻塞",0.25,0))))</f>
        <v/>
      </c>
      <c r="Q422" s="260" t="str"/>
    </row>
    <row r="423" ht="22" customHeight="1" s="48">
      <c r="A423" s="261" t="str"/>
      <c r="B423" s="261" t="str"/>
      <c r="C423" s="261" t="str"/>
      <c r="D423" s="261" t="str"/>
      <c r="E423" s="261" t="str"/>
      <c r="F423" s="261" t="str"/>
      <c r="G423" s="261" t="str"/>
      <c r="H423" s="303" t="str"/>
      <c r="I423" s="261" t="str"/>
      <c r="J423" s="261" t="str"/>
      <c r="K423" s="285" t="str"/>
      <c r="L423" s="285" t="str"/>
      <c r="M423" s="285" t="str"/>
      <c r="N423" s="261" t="str"/>
      <c r="O423" s="261" t="str"/>
      <c r="P423" s="284">
        <f>IF(H423="已完成",1,IF(H423="待审核",0.8,IF(H423="进行中",0.5,IF(H423="已阻塞",0.25,0))))</f>
        <v/>
      </c>
      <c r="Q423" s="261" t="str"/>
    </row>
    <row r="424" ht="22" customHeight="1" s="48">
      <c r="A424" s="260" t="str"/>
      <c r="B424" s="260" t="str"/>
      <c r="C424" s="260" t="str"/>
      <c r="D424" s="260" t="str"/>
      <c r="E424" s="260" t="str"/>
      <c r="F424" s="260" t="str"/>
      <c r="G424" s="260" t="str"/>
      <c r="H424" s="302" t="str"/>
      <c r="I424" s="260" t="str"/>
      <c r="J424" s="260" t="str"/>
      <c r="K424" s="287" t="str"/>
      <c r="L424" s="287" t="str"/>
      <c r="M424" s="287" t="str"/>
      <c r="N424" s="260" t="str"/>
      <c r="O424" s="260" t="str"/>
      <c r="P424" s="286">
        <f>IF(H424="已完成",1,IF(H424="待审核",0.8,IF(H424="进行中",0.5,IF(H424="已阻塞",0.25,0))))</f>
        <v/>
      </c>
      <c r="Q424" s="260" t="str"/>
    </row>
    <row r="425" ht="22" customHeight="1" s="48">
      <c r="A425" s="261" t="str"/>
      <c r="B425" s="261" t="str"/>
      <c r="C425" s="261" t="str"/>
      <c r="D425" s="261" t="str"/>
      <c r="E425" s="261" t="str"/>
      <c r="F425" s="261" t="str"/>
      <c r="G425" s="261" t="str"/>
      <c r="H425" s="303" t="str"/>
      <c r="I425" s="261" t="str"/>
      <c r="J425" s="261" t="str"/>
      <c r="K425" s="285" t="str"/>
      <c r="L425" s="285" t="str"/>
      <c r="M425" s="285" t="str"/>
      <c r="N425" s="261" t="str"/>
      <c r="O425" s="261" t="str"/>
      <c r="P425" s="284">
        <f>IF(H425="已完成",1,IF(H425="待审核",0.8,IF(H425="进行中",0.5,IF(H425="已阻塞",0.25,0))))</f>
        <v/>
      </c>
      <c r="Q425" s="261" t="str"/>
    </row>
    <row r="426" ht="22" customHeight="1" s="48">
      <c r="A426" s="260" t="str"/>
      <c r="B426" s="260" t="str"/>
      <c r="C426" s="260" t="str"/>
      <c r="D426" s="260" t="str"/>
      <c r="E426" s="260" t="str"/>
      <c r="F426" s="260" t="str"/>
      <c r="G426" s="260" t="str"/>
      <c r="H426" s="302" t="str"/>
      <c r="I426" s="260" t="str"/>
      <c r="J426" s="260" t="str"/>
      <c r="K426" s="287" t="str"/>
      <c r="L426" s="287" t="str"/>
      <c r="M426" s="287" t="str"/>
      <c r="N426" s="260" t="str"/>
      <c r="O426" s="260" t="str"/>
      <c r="P426" s="286">
        <f>IF(H426="已完成",1,IF(H426="待审核",0.8,IF(H426="进行中",0.5,IF(H426="已阻塞",0.25,0))))</f>
        <v/>
      </c>
      <c r="Q426" s="260" t="str"/>
    </row>
    <row r="427" ht="22" customHeight="1" s="48">
      <c r="A427" s="261" t="str"/>
      <c r="B427" s="261" t="str"/>
      <c r="C427" s="261" t="str"/>
      <c r="D427" s="261" t="str"/>
      <c r="E427" s="261" t="str"/>
      <c r="F427" s="261" t="str"/>
      <c r="G427" s="261" t="str"/>
      <c r="H427" s="303" t="str"/>
      <c r="I427" s="261" t="str"/>
      <c r="J427" s="261" t="str"/>
      <c r="K427" s="285" t="str"/>
      <c r="L427" s="285" t="str"/>
      <c r="M427" s="285" t="str"/>
      <c r="N427" s="261" t="str"/>
      <c r="O427" s="261" t="str"/>
      <c r="P427" s="284">
        <f>IF(H427="已完成",1,IF(H427="待审核",0.8,IF(H427="进行中",0.5,IF(H427="已阻塞",0.25,0))))</f>
        <v/>
      </c>
      <c r="Q427" s="261" t="str"/>
    </row>
    <row r="428" ht="22" customHeight="1" s="48">
      <c r="A428" s="260" t="str"/>
      <c r="B428" s="260" t="str"/>
      <c r="C428" s="260" t="str"/>
      <c r="D428" s="260" t="str"/>
      <c r="E428" s="260" t="str"/>
      <c r="F428" s="260" t="str"/>
      <c r="G428" s="260" t="str"/>
      <c r="H428" s="302" t="str"/>
      <c r="I428" s="260" t="str"/>
      <c r="J428" s="260" t="str"/>
      <c r="K428" s="287" t="str"/>
      <c r="L428" s="287" t="str"/>
      <c r="M428" s="287" t="str"/>
      <c r="N428" s="260" t="str"/>
      <c r="O428" s="260" t="str"/>
      <c r="P428" s="286">
        <f>IF(H428="已完成",1,IF(H428="待审核",0.8,IF(H428="进行中",0.5,IF(H428="已阻塞",0.25,0))))</f>
        <v/>
      </c>
      <c r="Q428" s="260" t="str"/>
    </row>
    <row r="429" ht="22" customHeight="1" s="48">
      <c r="A429" s="261" t="str"/>
      <c r="B429" s="261" t="str"/>
      <c r="C429" s="261" t="str"/>
      <c r="D429" s="261" t="str"/>
      <c r="E429" s="261" t="str"/>
      <c r="F429" s="261" t="str"/>
      <c r="G429" s="261" t="str"/>
      <c r="H429" s="303" t="str"/>
      <c r="I429" s="261" t="str"/>
      <c r="J429" s="261" t="str"/>
      <c r="K429" s="285" t="str"/>
      <c r="L429" s="285" t="str"/>
      <c r="M429" s="285" t="str"/>
      <c r="N429" s="261" t="str"/>
      <c r="O429" s="261" t="str"/>
      <c r="P429" s="284">
        <f>IF(H429="已完成",1,IF(H429="待审核",0.8,IF(H429="进行中",0.5,IF(H429="已阻塞",0.25,0))))</f>
        <v/>
      </c>
      <c r="Q429" s="261" t="str"/>
    </row>
    <row r="430" ht="22" customHeight="1" s="48">
      <c r="A430" s="260" t="str"/>
      <c r="B430" s="260" t="str"/>
      <c r="C430" s="260" t="str"/>
      <c r="D430" s="260" t="str"/>
      <c r="E430" s="260" t="str"/>
      <c r="F430" s="260" t="str"/>
      <c r="G430" s="260" t="str"/>
      <c r="H430" s="302" t="str"/>
      <c r="I430" s="260" t="str"/>
      <c r="J430" s="260" t="str"/>
      <c r="K430" s="287" t="str"/>
      <c r="L430" s="287" t="str"/>
      <c r="M430" s="287" t="str"/>
      <c r="N430" s="260" t="str"/>
      <c r="O430" s="260" t="str"/>
      <c r="P430" s="286">
        <f>IF(H430="已完成",1,IF(H430="待审核",0.8,IF(H430="进行中",0.5,IF(H430="已阻塞",0.25,0))))</f>
        <v/>
      </c>
      <c r="Q430" s="260" t="str"/>
    </row>
    <row r="431" ht="22" customHeight="1" s="48">
      <c r="A431" s="261" t="str"/>
      <c r="B431" s="261" t="str"/>
      <c r="C431" s="261" t="str"/>
      <c r="D431" s="261" t="str"/>
      <c r="E431" s="261" t="str"/>
      <c r="F431" s="261" t="str"/>
      <c r="G431" s="261" t="str"/>
      <c r="H431" s="303" t="str"/>
      <c r="I431" s="261" t="str"/>
      <c r="J431" s="261" t="str"/>
      <c r="K431" s="285" t="str"/>
      <c r="L431" s="285" t="str"/>
      <c r="M431" s="285" t="str"/>
      <c r="N431" s="261" t="str"/>
      <c r="O431" s="261" t="str"/>
      <c r="P431" s="284">
        <f>IF(H431="已完成",1,IF(H431="待审核",0.8,IF(H431="进行中",0.5,IF(H431="已阻塞",0.25,0))))</f>
        <v/>
      </c>
      <c r="Q431" s="261" t="str"/>
    </row>
    <row r="432" ht="22" customHeight="1" s="48">
      <c r="A432" s="260" t="str"/>
      <c r="B432" s="260" t="str"/>
      <c r="C432" s="260" t="str"/>
      <c r="D432" s="260" t="str"/>
      <c r="E432" s="260" t="str"/>
      <c r="F432" s="260" t="str"/>
      <c r="G432" s="260" t="str"/>
      <c r="H432" s="302" t="str"/>
      <c r="I432" s="260" t="str"/>
      <c r="J432" s="260" t="str"/>
      <c r="K432" s="287" t="str"/>
      <c r="L432" s="287" t="str"/>
      <c r="M432" s="287" t="str"/>
      <c r="N432" s="260" t="str"/>
      <c r="O432" s="260" t="str"/>
      <c r="P432" s="286">
        <f>IF(H432="已完成",1,IF(H432="待审核",0.8,IF(H432="进行中",0.5,IF(H432="已阻塞",0.25,0))))</f>
        <v/>
      </c>
      <c r="Q432" s="260" t="str"/>
    </row>
    <row r="433" ht="22" customHeight="1" s="48">
      <c r="A433" s="261" t="str"/>
      <c r="B433" s="261" t="str"/>
      <c r="C433" s="261" t="str"/>
      <c r="D433" s="261" t="str"/>
      <c r="E433" s="261" t="str"/>
      <c r="F433" s="261" t="str"/>
      <c r="G433" s="261" t="str"/>
      <c r="H433" s="303" t="str"/>
      <c r="I433" s="261" t="str"/>
      <c r="J433" s="261" t="str"/>
      <c r="K433" s="285" t="str"/>
      <c r="L433" s="285" t="str"/>
      <c r="M433" s="285" t="str"/>
      <c r="N433" s="261" t="str"/>
      <c r="O433" s="261" t="str"/>
      <c r="P433" s="284">
        <f>IF(H433="已完成",1,IF(H433="待审核",0.8,IF(H433="进行中",0.5,IF(H433="已阻塞",0.25,0))))</f>
        <v/>
      </c>
      <c r="Q433" s="261" t="str"/>
    </row>
    <row r="434" ht="22" customHeight="1" s="48">
      <c r="A434" s="260" t="str"/>
      <c r="B434" s="260" t="str"/>
      <c r="C434" s="260" t="str"/>
      <c r="D434" s="260" t="str"/>
      <c r="E434" s="260" t="str"/>
      <c r="F434" s="260" t="str"/>
      <c r="G434" s="260" t="str"/>
      <c r="H434" s="302" t="str"/>
      <c r="I434" s="260" t="str"/>
      <c r="J434" s="260" t="str"/>
      <c r="K434" s="287" t="str"/>
      <c r="L434" s="287" t="str"/>
      <c r="M434" s="287" t="str"/>
      <c r="N434" s="260" t="str"/>
      <c r="O434" s="260" t="str"/>
      <c r="P434" s="286">
        <f>IF(H434="已完成",1,IF(H434="待审核",0.8,IF(H434="进行中",0.5,IF(H434="已阻塞",0.25,0))))</f>
        <v/>
      </c>
      <c r="Q434" s="260" t="str"/>
    </row>
    <row r="435" ht="22" customHeight="1" s="48">
      <c r="A435" s="261" t="str"/>
      <c r="B435" s="261" t="str"/>
      <c r="C435" s="261" t="str"/>
      <c r="D435" s="261" t="str"/>
      <c r="E435" s="261" t="str"/>
      <c r="F435" s="261" t="str"/>
      <c r="G435" s="261" t="str"/>
      <c r="H435" s="303" t="str"/>
      <c r="I435" s="261" t="str"/>
      <c r="J435" s="261" t="str"/>
      <c r="K435" s="285" t="str"/>
      <c r="L435" s="285" t="str"/>
      <c r="M435" s="285" t="str"/>
      <c r="N435" s="261" t="str"/>
      <c r="O435" s="261" t="str"/>
      <c r="P435" s="284">
        <f>IF(H435="已完成",1,IF(H435="待审核",0.8,IF(H435="进行中",0.5,IF(H435="已阻塞",0.25,0))))</f>
        <v/>
      </c>
      <c r="Q435" s="261" t="str"/>
    </row>
    <row r="436" ht="22" customHeight="1" s="48">
      <c r="A436" s="260" t="str"/>
      <c r="B436" s="260" t="str"/>
      <c r="C436" s="260" t="str"/>
      <c r="D436" s="260" t="str"/>
      <c r="E436" s="260" t="str"/>
      <c r="F436" s="260" t="str"/>
      <c r="G436" s="260" t="str"/>
      <c r="H436" s="302" t="str"/>
      <c r="I436" s="260" t="str"/>
      <c r="J436" s="260" t="str"/>
      <c r="K436" s="287" t="str"/>
      <c r="L436" s="287" t="str"/>
      <c r="M436" s="287" t="str"/>
      <c r="N436" s="260" t="str"/>
      <c r="O436" s="260" t="str"/>
      <c r="P436" s="286">
        <f>IF(H436="已完成",1,IF(H436="待审核",0.8,IF(H436="进行中",0.5,IF(H436="已阻塞",0.25,0))))</f>
        <v/>
      </c>
      <c r="Q436" s="260" t="str"/>
    </row>
    <row r="437" ht="22" customHeight="1" s="48">
      <c r="A437" s="261" t="str"/>
      <c r="B437" s="261" t="str"/>
      <c r="C437" s="261" t="str"/>
      <c r="D437" s="261" t="str"/>
      <c r="E437" s="261" t="str"/>
      <c r="F437" s="261" t="str"/>
      <c r="G437" s="261" t="str"/>
      <c r="H437" s="303" t="str"/>
      <c r="I437" s="261" t="str"/>
      <c r="J437" s="261" t="str"/>
      <c r="K437" s="285" t="str"/>
      <c r="L437" s="285" t="str"/>
      <c r="M437" s="285" t="str"/>
      <c r="N437" s="261" t="str"/>
      <c r="O437" s="261" t="str"/>
      <c r="P437" s="284">
        <f>IF(H437="已完成",1,IF(H437="待审核",0.8,IF(H437="进行中",0.5,IF(H437="已阻塞",0.25,0))))</f>
        <v/>
      </c>
      <c r="Q437" s="261" t="str"/>
    </row>
    <row r="438" ht="22" customHeight="1" s="48">
      <c r="A438" s="260" t="str"/>
      <c r="B438" s="260" t="str"/>
      <c r="C438" s="260" t="str"/>
      <c r="D438" s="260" t="str"/>
      <c r="E438" s="260" t="str"/>
      <c r="F438" s="260" t="str"/>
      <c r="G438" s="260" t="str"/>
      <c r="H438" s="302" t="str"/>
      <c r="I438" s="260" t="str"/>
      <c r="J438" s="260" t="str"/>
      <c r="K438" s="287" t="str"/>
      <c r="L438" s="287" t="str"/>
      <c r="M438" s="287" t="str"/>
      <c r="N438" s="260" t="str"/>
      <c r="O438" s="260" t="str"/>
      <c r="P438" s="286">
        <f>IF(H438="已完成",1,IF(H438="待审核",0.8,IF(H438="进行中",0.5,IF(H438="已阻塞",0.25,0))))</f>
        <v/>
      </c>
      <c r="Q438" s="260" t="str"/>
    </row>
    <row r="439" ht="22" customHeight="1" s="48">
      <c r="A439" s="261" t="str"/>
      <c r="B439" s="261" t="str"/>
      <c r="C439" s="261" t="str"/>
      <c r="D439" s="261" t="str"/>
      <c r="E439" s="261" t="str"/>
      <c r="F439" s="261" t="str"/>
      <c r="G439" s="261" t="str"/>
      <c r="H439" s="303" t="str"/>
      <c r="I439" s="261" t="str"/>
      <c r="J439" s="261" t="str"/>
      <c r="K439" s="285" t="str"/>
      <c r="L439" s="285" t="str"/>
      <c r="M439" s="285" t="str"/>
      <c r="N439" s="261" t="str"/>
      <c r="O439" s="261" t="str"/>
      <c r="P439" s="284">
        <f>IF(H439="已完成",1,IF(H439="待审核",0.8,IF(H439="进行中",0.5,IF(H439="已阻塞",0.25,0))))</f>
        <v/>
      </c>
      <c r="Q439" s="261" t="str"/>
    </row>
    <row r="440" ht="22" customHeight="1" s="48">
      <c r="A440" s="260" t="str"/>
      <c r="B440" s="260" t="str"/>
      <c r="C440" s="260" t="str"/>
      <c r="D440" s="260" t="str"/>
      <c r="E440" s="260" t="str"/>
      <c r="F440" s="260" t="str"/>
      <c r="G440" s="260" t="str"/>
      <c r="H440" s="302" t="str"/>
      <c r="I440" s="260" t="str"/>
      <c r="J440" s="260" t="str"/>
      <c r="K440" s="287" t="str"/>
      <c r="L440" s="287" t="str"/>
      <c r="M440" s="287" t="str"/>
      <c r="N440" s="260" t="str"/>
      <c r="O440" s="260" t="str"/>
      <c r="P440" s="286">
        <f>IF(H440="已完成",1,IF(H440="待审核",0.8,IF(H440="进行中",0.5,IF(H440="已阻塞",0.25,0))))</f>
        <v/>
      </c>
      <c r="Q440" s="260" t="str"/>
    </row>
    <row r="441" ht="22" customHeight="1" s="48">
      <c r="A441" s="261" t="str"/>
      <c r="B441" s="261" t="str"/>
      <c r="C441" s="261" t="str"/>
      <c r="D441" s="261" t="str"/>
      <c r="E441" s="261" t="str"/>
      <c r="F441" s="261" t="str"/>
      <c r="G441" s="261" t="str"/>
      <c r="H441" s="303" t="str"/>
      <c r="I441" s="261" t="str"/>
      <c r="J441" s="261" t="str"/>
      <c r="K441" s="285" t="str"/>
      <c r="L441" s="285" t="str"/>
      <c r="M441" s="285" t="str"/>
      <c r="N441" s="261" t="str"/>
      <c r="O441" s="261" t="str"/>
      <c r="P441" s="284">
        <f>IF(H441="已完成",1,IF(H441="待审核",0.8,IF(H441="进行中",0.5,IF(H441="已阻塞",0.25,0))))</f>
        <v/>
      </c>
      <c r="Q441" s="261" t="str"/>
    </row>
    <row r="442" ht="22" customHeight="1" s="48">
      <c r="A442" s="260" t="str"/>
      <c r="B442" s="260" t="str"/>
      <c r="C442" s="260" t="str"/>
      <c r="D442" s="260" t="str"/>
      <c r="E442" s="260" t="str"/>
      <c r="F442" s="260" t="str"/>
      <c r="G442" s="260" t="str"/>
      <c r="H442" s="302" t="str"/>
      <c r="I442" s="260" t="str"/>
      <c r="J442" s="260" t="str"/>
      <c r="K442" s="287" t="str"/>
      <c r="L442" s="287" t="str"/>
      <c r="M442" s="287" t="str"/>
      <c r="N442" s="260" t="str"/>
      <c r="O442" s="260" t="str"/>
      <c r="P442" s="286">
        <f>IF(H442="已完成",1,IF(H442="待审核",0.8,IF(H442="进行中",0.5,IF(H442="已阻塞",0.25,0))))</f>
        <v/>
      </c>
      <c r="Q442" s="260" t="str"/>
    </row>
    <row r="443" ht="22" customHeight="1" s="48">
      <c r="A443" s="261" t="str"/>
      <c r="B443" s="261" t="str"/>
      <c r="C443" s="261" t="str"/>
      <c r="D443" s="261" t="str"/>
      <c r="E443" s="261" t="str"/>
      <c r="F443" s="261" t="str"/>
      <c r="G443" s="261" t="str"/>
      <c r="H443" s="303" t="str"/>
      <c r="I443" s="261" t="str"/>
      <c r="J443" s="261" t="str"/>
      <c r="K443" s="285" t="str"/>
      <c r="L443" s="285" t="str"/>
      <c r="M443" s="285" t="str"/>
      <c r="N443" s="261" t="str"/>
      <c r="O443" s="261" t="str"/>
      <c r="P443" s="284">
        <f>IF(H443="已完成",1,IF(H443="待审核",0.8,IF(H443="进行中",0.5,IF(H443="已阻塞",0.25,0))))</f>
        <v/>
      </c>
      <c r="Q443" s="261" t="str"/>
    </row>
    <row r="444" ht="22" customHeight="1" s="48">
      <c r="A444" s="260" t="str"/>
      <c r="B444" s="260" t="str"/>
      <c r="C444" s="260" t="str"/>
      <c r="D444" s="260" t="str"/>
      <c r="E444" s="260" t="str"/>
      <c r="F444" s="260" t="str"/>
      <c r="G444" s="260" t="str"/>
      <c r="H444" s="302" t="str"/>
      <c r="I444" s="260" t="str"/>
      <c r="J444" s="260" t="str"/>
      <c r="K444" s="287" t="str"/>
      <c r="L444" s="287" t="str"/>
      <c r="M444" s="287" t="str"/>
      <c r="N444" s="260" t="str"/>
      <c r="O444" s="260" t="str"/>
      <c r="P444" s="286">
        <f>IF(H444="已完成",1,IF(H444="待审核",0.8,IF(H444="进行中",0.5,IF(H444="已阻塞",0.25,0))))</f>
        <v/>
      </c>
      <c r="Q444" s="260" t="str"/>
    </row>
    <row r="445" ht="22" customHeight="1" s="48">
      <c r="A445" s="261" t="str"/>
      <c r="B445" s="261" t="str"/>
      <c r="C445" s="261" t="str"/>
      <c r="D445" s="261" t="str"/>
      <c r="E445" s="261" t="str"/>
      <c r="F445" s="261" t="str"/>
      <c r="G445" s="261" t="str"/>
      <c r="H445" s="303" t="str"/>
      <c r="I445" s="261" t="str"/>
      <c r="J445" s="261" t="str"/>
      <c r="K445" s="285" t="str"/>
      <c r="L445" s="285" t="str"/>
      <c r="M445" s="285" t="str"/>
      <c r="N445" s="261" t="str"/>
      <c r="O445" s="261" t="str"/>
      <c r="P445" s="284">
        <f>IF(H445="已完成",1,IF(H445="待审核",0.8,IF(H445="进行中",0.5,IF(H445="已阻塞",0.25,0))))</f>
        <v/>
      </c>
      <c r="Q445" s="261" t="str"/>
    </row>
    <row r="446" ht="22" customHeight="1" s="48">
      <c r="A446" s="260" t="str"/>
      <c r="B446" s="260" t="str"/>
      <c r="C446" s="260" t="str"/>
      <c r="D446" s="260" t="str"/>
      <c r="E446" s="260" t="str"/>
      <c r="F446" s="260" t="str"/>
      <c r="G446" s="260" t="str"/>
      <c r="H446" s="302" t="str"/>
      <c r="I446" s="260" t="str"/>
      <c r="J446" s="260" t="str"/>
      <c r="K446" s="287" t="str"/>
      <c r="L446" s="287" t="str"/>
      <c r="M446" s="287" t="str"/>
      <c r="N446" s="260" t="str"/>
      <c r="O446" s="260" t="str"/>
      <c r="P446" s="286">
        <f>IF(H446="已完成",1,IF(H446="待审核",0.8,IF(H446="进行中",0.5,IF(H446="已阻塞",0.25,0))))</f>
        <v/>
      </c>
      <c r="Q446" s="260" t="str"/>
    </row>
    <row r="447" ht="22" customHeight="1" s="48">
      <c r="A447" s="261" t="str"/>
      <c r="B447" s="261" t="str"/>
      <c r="C447" s="261" t="str"/>
      <c r="D447" s="261" t="str"/>
      <c r="E447" s="261" t="str"/>
      <c r="F447" s="261" t="str"/>
      <c r="G447" s="261" t="str"/>
      <c r="H447" s="303" t="str"/>
      <c r="I447" s="261" t="str"/>
      <c r="J447" s="261" t="str"/>
      <c r="K447" s="285" t="str"/>
      <c r="L447" s="285" t="str"/>
      <c r="M447" s="285" t="str"/>
      <c r="N447" s="261" t="str"/>
      <c r="O447" s="261" t="str"/>
      <c r="P447" s="284">
        <f>IF(H447="已完成",1,IF(H447="待审核",0.8,IF(H447="进行中",0.5,IF(H447="已阻塞",0.25,0))))</f>
        <v/>
      </c>
      <c r="Q447" s="261" t="str"/>
    </row>
    <row r="448" ht="22" customHeight="1" s="48">
      <c r="A448" s="260" t="str"/>
      <c r="B448" s="260" t="str"/>
      <c r="C448" s="260" t="str"/>
      <c r="D448" s="260" t="str"/>
      <c r="E448" s="260" t="str"/>
      <c r="F448" s="260" t="str"/>
      <c r="G448" s="260" t="str"/>
      <c r="H448" s="302" t="str"/>
      <c r="I448" s="260" t="str"/>
      <c r="J448" s="260" t="str"/>
      <c r="K448" s="287" t="str"/>
      <c r="L448" s="287" t="str"/>
      <c r="M448" s="287" t="str"/>
      <c r="N448" s="260" t="str"/>
      <c r="O448" s="260" t="str"/>
      <c r="P448" s="286">
        <f>IF(H448="已完成",1,IF(H448="待审核",0.8,IF(H448="进行中",0.5,IF(H448="已阻塞",0.25,0))))</f>
        <v/>
      </c>
      <c r="Q448" s="260" t="str"/>
    </row>
    <row r="449" ht="22" customHeight="1" s="48">
      <c r="A449" s="261" t="str"/>
      <c r="B449" s="261" t="str"/>
      <c r="C449" s="261" t="str"/>
      <c r="D449" s="261" t="str"/>
      <c r="E449" s="261" t="str"/>
      <c r="F449" s="261" t="str"/>
      <c r="G449" s="261" t="str"/>
      <c r="H449" s="303" t="str"/>
      <c r="I449" s="261" t="str"/>
      <c r="J449" s="261" t="str"/>
      <c r="K449" s="285" t="str"/>
      <c r="L449" s="285" t="str"/>
      <c r="M449" s="285" t="str"/>
      <c r="N449" s="261" t="str"/>
      <c r="O449" s="261" t="str"/>
      <c r="P449" s="284">
        <f>IF(H449="已完成",1,IF(H449="待审核",0.8,IF(H449="进行中",0.5,IF(H449="已阻塞",0.25,0))))</f>
        <v/>
      </c>
      <c r="Q449" s="261" t="str"/>
    </row>
    <row r="450" ht="22" customHeight="1" s="48">
      <c r="A450" s="260" t="str"/>
      <c r="B450" s="260" t="str"/>
      <c r="C450" s="260" t="str"/>
      <c r="D450" s="260" t="str"/>
      <c r="E450" s="260" t="str"/>
      <c r="F450" s="260" t="str"/>
      <c r="G450" s="260" t="str"/>
      <c r="H450" s="302" t="str"/>
      <c r="I450" s="260" t="str"/>
      <c r="J450" s="260" t="str"/>
      <c r="K450" s="287" t="str"/>
      <c r="L450" s="287" t="str"/>
      <c r="M450" s="287" t="str"/>
      <c r="N450" s="260" t="str"/>
      <c r="O450" s="260" t="str"/>
      <c r="P450" s="286">
        <f>IF(H450="已完成",1,IF(H450="待审核",0.8,IF(H450="进行中",0.5,IF(H450="已阻塞",0.25,0))))</f>
        <v/>
      </c>
      <c r="Q450" s="260" t="str"/>
    </row>
    <row r="451" ht="22" customHeight="1" s="48">
      <c r="A451" s="261" t="str"/>
      <c r="B451" s="261" t="str"/>
      <c r="C451" s="261" t="str"/>
      <c r="D451" s="261" t="str"/>
      <c r="E451" s="261" t="str"/>
      <c r="F451" s="261" t="str"/>
      <c r="G451" s="261" t="str"/>
      <c r="H451" s="303" t="str"/>
      <c r="I451" s="261" t="str"/>
      <c r="J451" s="261" t="str"/>
      <c r="K451" s="285" t="str"/>
      <c r="L451" s="285" t="str"/>
      <c r="M451" s="285" t="str"/>
      <c r="N451" s="261" t="str"/>
      <c r="O451" s="261" t="str"/>
      <c r="P451" s="284">
        <f>IF(H451="已完成",1,IF(H451="待审核",0.8,IF(H451="进行中",0.5,IF(H451="已阻塞",0.25,0))))</f>
        <v/>
      </c>
      <c r="Q451" s="261" t="str"/>
    </row>
    <row r="452" ht="22" customHeight="1" s="48">
      <c r="A452" s="260" t="str"/>
      <c r="B452" s="260" t="str"/>
      <c r="C452" s="260" t="str"/>
      <c r="D452" s="260" t="str"/>
      <c r="E452" s="260" t="str"/>
      <c r="F452" s="260" t="str"/>
      <c r="G452" s="260" t="str"/>
      <c r="H452" s="302" t="str"/>
      <c r="I452" s="260" t="str"/>
      <c r="J452" s="260" t="str"/>
      <c r="K452" s="287" t="str"/>
      <c r="L452" s="287" t="str"/>
      <c r="M452" s="287" t="str"/>
      <c r="N452" s="260" t="str"/>
      <c r="O452" s="260" t="str"/>
      <c r="P452" s="286">
        <f>IF(H452="已完成",1,IF(H452="待审核",0.8,IF(H452="进行中",0.5,IF(H452="已阻塞",0.25,0))))</f>
        <v/>
      </c>
      <c r="Q452" s="260" t="str"/>
    </row>
    <row r="453" ht="22" customHeight="1" s="48">
      <c r="A453" s="261" t="str"/>
      <c r="B453" s="261" t="str"/>
      <c r="C453" s="261" t="str"/>
      <c r="D453" s="261" t="str"/>
      <c r="E453" s="261" t="str"/>
      <c r="F453" s="261" t="str"/>
      <c r="G453" s="261" t="str"/>
      <c r="H453" s="303" t="str"/>
      <c r="I453" s="261" t="str"/>
      <c r="J453" s="261" t="str"/>
      <c r="K453" s="285" t="str"/>
      <c r="L453" s="285" t="str"/>
      <c r="M453" s="285" t="str"/>
      <c r="N453" s="261" t="str"/>
      <c r="O453" s="261" t="str"/>
      <c r="P453" s="284">
        <f>IF(H453="已完成",1,IF(H453="待审核",0.8,IF(H453="进行中",0.5,IF(H453="已阻塞",0.25,0))))</f>
        <v/>
      </c>
      <c r="Q453" s="261" t="str"/>
    </row>
    <row r="454" ht="22" customHeight="1" s="48">
      <c r="A454" s="260" t="str"/>
      <c r="B454" s="260" t="str"/>
      <c r="C454" s="260" t="str"/>
      <c r="D454" s="260" t="str"/>
      <c r="E454" s="260" t="str"/>
      <c r="F454" s="260" t="str"/>
      <c r="G454" s="260" t="str"/>
      <c r="H454" s="302" t="str"/>
      <c r="I454" s="260" t="str"/>
      <c r="J454" s="260" t="str"/>
      <c r="K454" s="287" t="str"/>
      <c r="L454" s="287" t="str"/>
      <c r="M454" s="287" t="str"/>
      <c r="N454" s="260" t="str"/>
      <c r="O454" s="260" t="str"/>
      <c r="P454" s="286">
        <f>IF(H454="已完成",1,IF(H454="待审核",0.8,IF(H454="进行中",0.5,IF(H454="已阻塞",0.25,0))))</f>
        <v/>
      </c>
      <c r="Q454" s="260" t="str"/>
    </row>
    <row r="455" ht="22" customHeight="1" s="48">
      <c r="A455" s="261" t="str"/>
      <c r="B455" s="261" t="str"/>
      <c r="C455" s="261" t="str"/>
      <c r="D455" s="261" t="str"/>
      <c r="E455" s="261" t="str"/>
      <c r="F455" s="261" t="str"/>
      <c r="G455" s="261" t="str"/>
      <c r="H455" s="303" t="str"/>
      <c r="I455" s="261" t="str"/>
      <c r="J455" s="261" t="str"/>
      <c r="K455" s="285" t="str"/>
      <c r="L455" s="285" t="str"/>
      <c r="M455" s="285" t="str"/>
      <c r="N455" s="261" t="str"/>
      <c r="O455" s="261" t="str"/>
      <c r="P455" s="284">
        <f>IF(H455="已完成",1,IF(H455="待审核",0.8,IF(H455="进行中",0.5,IF(H455="已阻塞",0.25,0))))</f>
        <v/>
      </c>
      <c r="Q455" s="261" t="str"/>
    </row>
    <row r="456" ht="22" customHeight="1" s="48">
      <c r="A456" s="260" t="str"/>
      <c r="B456" s="260" t="str"/>
      <c r="C456" s="260" t="str"/>
      <c r="D456" s="260" t="str"/>
      <c r="E456" s="260" t="str"/>
      <c r="F456" s="260" t="str"/>
      <c r="G456" s="260" t="str"/>
      <c r="H456" s="302" t="str"/>
      <c r="I456" s="260" t="str"/>
      <c r="J456" s="260" t="str"/>
      <c r="K456" s="287" t="str"/>
      <c r="L456" s="287" t="str"/>
      <c r="M456" s="287" t="str"/>
      <c r="N456" s="260" t="str"/>
      <c r="O456" s="260" t="str"/>
      <c r="P456" s="286">
        <f>IF(H456="已完成",1,IF(H456="待审核",0.8,IF(H456="进行中",0.5,IF(H456="已阻塞",0.25,0))))</f>
        <v/>
      </c>
      <c r="Q456" s="260" t="str"/>
    </row>
    <row r="457" ht="22" customHeight="1" s="48">
      <c r="A457" s="261" t="str"/>
      <c r="B457" s="261" t="str"/>
      <c r="C457" s="261" t="str"/>
      <c r="D457" s="261" t="str"/>
      <c r="E457" s="261" t="str"/>
      <c r="F457" s="261" t="str"/>
      <c r="G457" s="261" t="str"/>
      <c r="H457" s="303" t="str"/>
      <c r="I457" s="261" t="str"/>
      <c r="J457" s="261" t="str"/>
      <c r="K457" s="285" t="str"/>
      <c r="L457" s="285" t="str"/>
      <c r="M457" s="285" t="str"/>
      <c r="N457" s="261" t="str"/>
      <c r="O457" s="261" t="str"/>
      <c r="P457" s="284">
        <f>IF(H457="已完成",1,IF(H457="待审核",0.8,IF(H457="进行中",0.5,IF(H457="已阻塞",0.25,0))))</f>
        <v/>
      </c>
      <c r="Q457" s="261" t="str"/>
    </row>
    <row r="458" ht="22" customHeight="1" s="48">
      <c r="A458" s="260" t="str"/>
      <c r="B458" s="260" t="str"/>
      <c r="C458" s="260" t="str"/>
      <c r="D458" s="260" t="str"/>
      <c r="E458" s="260" t="str"/>
      <c r="F458" s="260" t="str"/>
      <c r="G458" s="260" t="str"/>
      <c r="H458" s="302" t="str"/>
      <c r="I458" s="260" t="str"/>
      <c r="J458" s="260" t="str"/>
      <c r="K458" s="287" t="str"/>
      <c r="L458" s="287" t="str"/>
      <c r="M458" s="287" t="str"/>
      <c r="N458" s="260" t="str"/>
      <c r="O458" s="260" t="str"/>
      <c r="P458" s="286">
        <f>IF(H458="已完成",1,IF(H458="待审核",0.8,IF(H458="进行中",0.5,IF(H458="已阻塞",0.25,0))))</f>
        <v/>
      </c>
      <c r="Q458" s="260" t="str"/>
    </row>
    <row r="459" ht="22" customHeight="1" s="48">
      <c r="A459" s="261" t="str"/>
      <c r="B459" s="261" t="str"/>
      <c r="C459" s="261" t="str"/>
      <c r="D459" s="261" t="str"/>
      <c r="E459" s="261" t="str"/>
      <c r="F459" s="261" t="str"/>
      <c r="G459" s="261" t="str"/>
      <c r="H459" s="303" t="str"/>
      <c r="I459" s="261" t="str"/>
      <c r="J459" s="261" t="str"/>
      <c r="K459" s="285" t="str"/>
      <c r="L459" s="285" t="str"/>
      <c r="M459" s="285" t="str"/>
      <c r="N459" s="261" t="str"/>
      <c r="O459" s="261" t="str"/>
      <c r="P459" s="284">
        <f>IF(H459="已完成",1,IF(H459="待审核",0.8,IF(H459="进行中",0.5,IF(H459="已阻塞",0.25,0))))</f>
        <v/>
      </c>
      <c r="Q459" s="261" t="str"/>
    </row>
    <row r="460" ht="22" customHeight="1" s="48">
      <c r="A460" s="260" t="str"/>
      <c r="B460" s="260" t="str"/>
      <c r="C460" s="260" t="str"/>
      <c r="D460" s="260" t="str"/>
      <c r="E460" s="260" t="str"/>
      <c r="F460" s="260" t="str"/>
      <c r="G460" s="260" t="str"/>
      <c r="H460" s="302" t="str"/>
      <c r="I460" s="260" t="str"/>
      <c r="J460" s="260" t="str"/>
      <c r="K460" s="287" t="str"/>
      <c r="L460" s="287" t="str"/>
      <c r="M460" s="287" t="str"/>
      <c r="N460" s="260" t="str"/>
      <c r="O460" s="260" t="str"/>
      <c r="P460" s="286">
        <f>IF(H460="已完成",1,IF(H460="待审核",0.8,IF(H460="进行中",0.5,IF(H460="已阻塞",0.25,0))))</f>
        <v/>
      </c>
      <c r="Q460" s="260" t="str"/>
    </row>
    <row r="461" ht="22" customHeight="1" s="48">
      <c r="A461" s="261" t="str"/>
      <c r="B461" s="261" t="str"/>
      <c r="C461" s="261" t="str"/>
      <c r="D461" s="261" t="str"/>
      <c r="E461" s="261" t="str"/>
      <c r="F461" s="261" t="str"/>
      <c r="G461" s="261" t="str"/>
      <c r="H461" s="303" t="str"/>
      <c r="I461" s="261" t="str"/>
      <c r="J461" s="261" t="str"/>
      <c r="K461" s="285" t="str"/>
      <c r="L461" s="285" t="str"/>
      <c r="M461" s="285" t="str"/>
      <c r="N461" s="261" t="str"/>
      <c r="O461" s="261" t="str"/>
      <c r="P461" s="284">
        <f>IF(H461="已完成",1,IF(H461="待审核",0.8,IF(H461="进行中",0.5,IF(H461="已阻塞",0.25,0))))</f>
        <v/>
      </c>
      <c r="Q461" s="261" t="str"/>
    </row>
    <row r="462" ht="22" customHeight="1" s="48">
      <c r="A462" s="260" t="str"/>
      <c r="B462" s="260" t="str"/>
      <c r="C462" s="260" t="str"/>
      <c r="D462" s="260" t="str"/>
      <c r="E462" s="260" t="str"/>
      <c r="F462" s="260" t="str"/>
      <c r="G462" s="260" t="str"/>
      <c r="H462" s="302" t="str"/>
      <c r="I462" s="260" t="str"/>
      <c r="J462" s="260" t="str"/>
      <c r="K462" s="287" t="str"/>
      <c r="L462" s="287" t="str"/>
      <c r="M462" s="287" t="str"/>
      <c r="N462" s="260" t="str"/>
      <c r="O462" s="260" t="str"/>
      <c r="P462" s="286">
        <f>IF(H462="已完成",1,IF(H462="待审核",0.8,IF(H462="进行中",0.5,IF(H462="已阻塞",0.25,0))))</f>
        <v/>
      </c>
      <c r="Q462" s="260" t="str"/>
    </row>
    <row r="463" ht="22" customHeight="1" s="48">
      <c r="A463" s="261" t="str"/>
      <c r="B463" s="261" t="str"/>
      <c r="C463" s="261" t="str"/>
      <c r="D463" s="261" t="str"/>
      <c r="E463" s="261" t="str"/>
      <c r="F463" s="261" t="str"/>
      <c r="G463" s="261" t="str"/>
      <c r="H463" s="303" t="str"/>
      <c r="I463" s="261" t="str"/>
      <c r="J463" s="261" t="str"/>
      <c r="K463" s="285" t="str"/>
      <c r="L463" s="285" t="str"/>
      <c r="M463" s="285" t="str"/>
      <c r="N463" s="261" t="str"/>
      <c r="O463" s="261" t="str"/>
      <c r="P463" s="284">
        <f>IF(H463="已完成",1,IF(H463="待审核",0.8,IF(H463="进行中",0.5,IF(H463="已阻塞",0.25,0))))</f>
        <v/>
      </c>
      <c r="Q463" s="261" t="str"/>
    </row>
    <row r="464" ht="22" customHeight="1" s="48">
      <c r="A464" s="260" t="str"/>
      <c r="B464" s="260" t="str"/>
      <c r="C464" s="260" t="str"/>
      <c r="D464" s="260" t="str"/>
      <c r="E464" s="260" t="str"/>
      <c r="F464" s="260" t="str"/>
      <c r="G464" s="260" t="str"/>
      <c r="H464" s="302" t="str"/>
      <c r="I464" s="260" t="str"/>
      <c r="J464" s="260" t="str"/>
      <c r="K464" s="287" t="str"/>
      <c r="L464" s="287" t="str"/>
      <c r="M464" s="287" t="str"/>
      <c r="N464" s="260" t="str"/>
      <c r="O464" s="260" t="str"/>
      <c r="P464" s="286">
        <f>IF(H464="已完成",1,IF(H464="待审核",0.8,IF(H464="进行中",0.5,IF(H464="已阻塞",0.25,0))))</f>
        <v/>
      </c>
      <c r="Q464" s="260" t="str"/>
    </row>
    <row r="465" ht="22" customHeight="1" s="48">
      <c r="A465" s="261" t="str"/>
      <c r="B465" s="261" t="str"/>
      <c r="C465" s="261" t="str"/>
      <c r="D465" s="261" t="str"/>
      <c r="E465" s="261" t="str"/>
      <c r="F465" s="261" t="str"/>
      <c r="G465" s="261" t="str"/>
      <c r="H465" s="303" t="str"/>
      <c r="I465" s="261" t="str"/>
      <c r="J465" s="261" t="str"/>
      <c r="K465" s="285" t="str"/>
      <c r="L465" s="285" t="str"/>
      <c r="M465" s="285" t="str"/>
      <c r="N465" s="261" t="str"/>
      <c r="O465" s="261" t="str"/>
      <c r="P465" s="284">
        <f>IF(H465="已完成",1,IF(H465="待审核",0.8,IF(H465="进行中",0.5,IF(H465="已阻塞",0.25,0))))</f>
        <v/>
      </c>
      <c r="Q465" s="261" t="str"/>
    </row>
    <row r="466" ht="22" customHeight="1" s="48">
      <c r="A466" s="260" t="str"/>
      <c r="B466" s="260" t="str"/>
      <c r="C466" s="260" t="str"/>
      <c r="D466" s="260" t="str"/>
      <c r="E466" s="260" t="str"/>
      <c r="F466" s="260" t="str"/>
      <c r="G466" s="260" t="str"/>
      <c r="H466" s="302" t="str"/>
      <c r="I466" s="260" t="str"/>
      <c r="J466" s="260" t="str"/>
      <c r="K466" s="287" t="str"/>
      <c r="L466" s="287" t="str"/>
      <c r="M466" s="287" t="str"/>
      <c r="N466" s="260" t="str"/>
      <c r="O466" s="260" t="str"/>
      <c r="P466" s="286">
        <f>IF(H466="已完成",1,IF(H466="待审核",0.8,IF(H466="进行中",0.5,IF(H466="已阻塞",0.25,0))))</f>
        <v/>
      </c>
      <c r="Q466" s="260" t="str"/>
    </row>
    <row r="467" ht="22" customHeight="1" s="48">
      <c r="A467" s="261" t="str"/>
      <c r="B467" s="261" t="str"/>
      <c r="C467" s="261" t="str"/>
      <c r="D467" s="261" t="str"/>
      <c r="E467" s="261" t="str"/>
      <c r="F467" s="261" t="str"/>
      <c r="G467" s="261" t="str"/>
      <c r="H467" s="303" t="str"/>
      <c r="I467" s="261" t="str"/>
      <c r="J467" s="261" t="str"/>
      <c r="K467" s="285" t="str"/>
      <c r="L467" s="285" t="str"/>
      <c r="M467" s="285" t="str"/>
      <c r="N467" s="261" t="str"/>
      <c r="O467" s="261" t="str"/>
      <c r="P467" s="284">
        <f>IF(H467="已完成",1,IF(H467="待审核",0.8,IF(H467="进行中",0.5,IF(H467="已阻塞",0.25,0))))</f>
        <v/>
      </c>
      <c r="Q467" s="261" t="str"/>
    </row>
    <row r="468" ht="22" customHeight="1" s="48">
      <c r="A468" s="260" t="str"/>
      <c r="B468" s="260" t="str"/>
      <c r="C468" s="260" t="str"/>
      <c r="D468" s="260" t="str"/>
      <c r="E468" s="260" t="str"/>
      <c r="F468" s="260" t="str"/>
      <c r="G468" s="260" t="str"/>
      <c r="H468" s="302" t="str"/>
      <c r="I468" s="260" t="str"/>
      <c r="J468" s="260" t="str"/>
      <c r="K468" s="287" t="str"/>
      <c r="L468" s="287" t="str"/>
      <c r="M468" s="287" t="str"/>
      <c r="N468" s="260" t="str"/>
      <c r="O468" s="260" t="str"/>
      <c r="P468" s="286">
        <f>IF(H468="已完成",1,IF(H468="待审核",0.8,IF(H468="进行中",0.5,IF(H468="已阻塞",0.25,0))))</f>
        <v/>
      </c>
      <c r="Q468" s="260" t="str"/>
    </row>
    <row r="469" ht="22" customHeight="1" s="48">
      <c r="A469" s="261" t="str"/>
      <c r="B469" s="261" t="str"/>
      <c r="C469" s="261" t="str"/>
      <c r="D469" s="261" t="str"/>
      <c r="E469" s="261" t="str"/>
      <c r="F469" s="261" t="str"/>
      <c r="G469" s="261" t="str"/>
      <c r="H469" s="303" t="str"/>
      <c r="I469" s="261" t="str"/>
      <c r="J469" s="261" t="str"/>
      <c r="K469" s="285" t="str"/>
      <c r="L469" s="285" t="str"/>
      <c r="M469" s="285" t="str"/>
      <c r="N469" s="261" t="str"/>
      <c r="O469" s="261" t="str"/>
      <c r="P469" s="284">
        <f>IF(H469="已完成",1,IF(H469="待审核",0.8,IF(H469="进行中",0.5,IF(H469="已阻塞",0.25,0))))</f>
        <v/>
      </c>
      <c r="Q469" s="261" t="str"/>
    </row>
    <row r="470" ht="22" customHeight="1" s="48">
      <c r="A470" s="260" t="str"/>
      <c r="B470" s="260" t="str"/>
      <c r="C470" s="260" t="str"/>
      <c r="D470" s="260" t="str"/>
      <c r="E470" s="260" t="str"/>
      <c r="F470" s="260" t="str"/>
      <c r="G470" s="260" t="str"/>
      <c r="H470" s="302" t="str"/>
      <c r="I470" s="260" t="str"/>
      <c r="J470" s="260" t="str"/>
      <c r="K470" s="287" t="str"/>
      <c r="L470" s="287" t="str"/>
      <c r="M470" s="287" t="str"/>
      <c r="N470" s="260" t="str"/>
      <c r="O470" s="260" t="str"/>
      <c r="P470" s="286">
        <f>IF(H470="已完成",1,IF(H470="待审核",0.8,IF(H470="进行中",0.5,IF(H470="已阻塞",0.25,0))))</f>
        <v/>
      </c>
      <c r="Q470" s="260" t="str"/>
    </row>
    <row r="471" ht="22" customHeight="1" s="48">
      <c r="A471" s="261" t="str"/>
      <c r="B471" s="261" t="str"/>
      <c r="C471" s="261" t="str"/>
      <c r="D471" s="261" t="str"/>
      <c r="E471" s="261" t="str"/>
      <c r="F471" s="261" t="str"/>
      <c r="G471" s="261" t="str"/>
      <c r="H471" s="303" t="str"/>
      <c r="I471" s="261" t="str"/>
      <c r="J471" s="261" t="str"/>
      <c r="K471" s="285" t="str"/>
      <c r="L471" s="285" t="str"/>
      <c r="M471" s="285" t="str"/>
      <c r="N471" s="261" t="str"/>
      <c r="O471" s="261" t="str"/>
      <c r="P471" s="284">
        <f>IF(H471="已完成",1,IF(H471="待审核",0.8,IF(H471="进行中",0.5,IF(H471="已阻塞",0.25,0))))</f>
        <v/>
      </c>
      <c r="Q471" s="261" t="str"/>
    </row>
    <row r="472" ht="22" customHeight="1" s="48">
      <c r="A472" s="260" t="str"/>
      <c r="B472" s="260" t="str"/>
      <c r="C472" s="260" t="str"/>
      <c r="D472" s="260" t="str"/>
      <c r="E472" s="260" t="str"/>
      <c r="F472" s="260" t="str"/>
      <c r="G472" s="260" t="str"/>
      <c r="H472" s="302" t="str"/>
      <c r="I472" s="260" t="str"/>
      <c r="J472" s="260" t="str"/>
      <c r="K472" s="287" t="str"/>
      <c r="L472" s="287" t="str"/>
      <c r="M472" s="287" t="str"/>
      <c r="N472" s="260" t="str"/>
      <c r="O472" s="260" t="str"/>
      <c r="P472" s="286">
        <f>IF(H472="已完成",1,IF(H472="待审核",0.8,IF(H472="进行中",0.5,IF(H472="已阻塞",0.25,0))))</f>
        <v/>
      </c>
      <c r="Q472" s="260" t="str"/>
    </row>
    <row r="473" ht="22" customHeight="1" s="48">
      <c r="A473" s="261" t="str"/>
      <c r="B473" s="261" t="str"/>
      <c r="C473" s="261" t="str"/>
      <c r="D473" s="261" t="str"/>
      <c r="E473" s="261" t="str"/>
      <c r="F473" s="261" t="str"/>
      <c r="G473" s="261" t="str"/>
      <c r="H473" s="303" t="str"/>
      <c r="I473" s="261" t="str"/>
      <c r="J473" s="261" t="str"/>
      <c r="K473" s="285" t="str"/>
      <c r="L473" s="285" t="str"/>
      <c r="M473" s="285" t="str"/>
      <c r="N473" s="261" t="str"/>
      <c r="O473" s="261" t="str"/>
      <c r="P473" s="284">
        <f>IF(H473="已完成",1,IF(H473="待审核",0.8,IF(H473="进行中",0.5,IF(H473="已阻塞",0.25,0))))</f>
        <v/>
      </c>
      <c r="Q473" s="261" t="str"/>
    </row>
    <row r="474" ht="22" customHeight="1" s="48">
      <c r="A474" s="260" t="str"/>
      <c r="B474" s="260" t="str"/>
      <c r="C474" s="260" t="str"/>
      <c r="D474" s="260" t="str"/>
      <c r="E474" s="260" t="str"/>
      <c r="F474" s="260" t="str"/>
      <c r="G474" s="260" t="str"/>
      <c r="H474" s="302" t="str"/>
      <c r="I474" s="260" t="str"/>
      <c r="J474" s="260" t="str"/>
      <c r="K474" s="287" t="str"/>
      <c r="L474" s="287" t="str"/>
      <c r="M474" s="287" t="str"/>
      <c r="N474" s="260" t="str"/>
      <c r="O474" s="260" t="str"/>
      <c r="P474" s="286">
        <f>IF(H474="已完成",1,IF(H474="待审核",0.8,IF(H474="进行中",0.5,IF(H474="已阻塞",0.25,0))))</f>
        <v/>
      </c>
      <c r="Q474" s="260" t="str"/>
    </row>
    <row r="475" ht="22" customHeight="1" s="48">
      <c r="A475" s="261" t="str"/>
      <c r="B475" s="261" t="str"/>
      <c r="C475" s="261" t="str"/>
      <c r="D475" s="261" t="str"/>
      <c r="E475" s="261" t="str"/>
      <c r="F475" s="261" t="str"/>
      <c r="G475" s="261" t="str"/>
      <c r="H475" s="303" t="str"/>
      <c r="I475" s="261" t="str"/>
      <c r="J475" s="261" t="str"/>
      <c r="K475" s="285" t="str"/>
      <c r="L475" s="285" t="str"/>
      <c r="M475" s="285" t="str"/>
      <c r="N475" s="261" t="str"/>
      <c r="O475" s="261" t="str"/>
      <c r="P475" s="284">
        <f>IF(H475="已完成",1,IF(H475="待审核",0.8,IF(H475="进行中",0.5,IF(H475="已阻塞",0.25,0))))</f>
        <v/>
      </c>
      <c r="Q475" s="261" t="str"/>
    </row>
    <row r="476" ht="22" customHeight="1" s="48">
      <c r="A476" s="260" t="str"/>
      <c r="B476" s="260" t="str"/>
      <c r="C476" s="260" t="str"/>
      <c r="D476" s="260" t="str"/>
      <c r="E476" s="260" t="str"/>
      <c r="F476" s="260" t="str"/>
      <c r="G476" s="260" t="str"/>
      <c r="H476" s="302" t="str"/>
      <c r="I476" s="260" t="str"/>
      <c r="J476" s="260" t="str"/>
      <c r="K476" s="287" t="str"/>
      <c r="L476" s="287" t="str"/>
      <c r="M476" s="287" t="str"/>
      <c r="N476" s="260" t="str"/>
      <c r="O476" s="260" t="str"/>
      <c r="P476" s="286">
        <f>IF(H476="已完成",1,IF(H476="待审核",0.8,IF(H476="进行中",0.5,IF(H476="已阻塞",0.25,0))))</f>
        <v/>
      </c>
      <c r="Q476" s="260" t="str"/>
    </row>
    <row r="477" ht="22" customHeight="1" s="48">
      <c r="A477" s="261" t="str"/>
      <c r="B477" s="261" t="str"/>
      <c r="C477" s="261" t="str"/>
      <c r="D477" s="261" t="str"/>
      <c r="E477" s="261" t="str"/>
      <c r="F477" s="261" t="str"/>
      <c r="G477" s="261" t="str"/>
      <c r="H477" s="303" t="str"/>
      <c r="I477" s="261" t="str"/>
      <c r="J477" s="261" t="str"/>
      <c r="K477" s="285" t="str"/>
      <c r="L477" s="285" t="str"/>
      <c r="M477" s="285" t="str"/>
      <c r="N477" s="261" t="str"/>
      <c r="O477" s="261" t="str"/>
      <c r="P477" s="284">
        <f>IF(H477="已完成",1,IF(H477="待审核",0.8,IF(H477="进行中",0.5,IF(H477="已阻塞",0.25,0))))</f>
        <v/>
      </c>
      <c r="Q477" s="261" t="str"/>
    </row>
    <row r="478" ht="22" customHeight="1" s="48">
      <c r="A478" s="260" t="str"/>
      <c r="B478" s="260" t="str"/>
      <c r="C478" s="260" t="str"/>
      <c r="D478" s="260" t="str"/>
      <c r="E478" s="260" t="str"/>
      <c r="F478" s="260" t="str"/>
      <c r="G478" s="260" t="str"/>
      <c r="H478" s="302" t="str"/>
      <c r="I478" s="260" t="str"/>
      <c r="J478" s="260" t="str"/>
      <c r="K478" s="287" t="str"/>
      <c r="L478" s="287" t="str"/>
      <c r="M478" s="287" t="str"/>
      <c r="N478" s="260" t="str"/>
      <c r="O478" s="260" t="str"/>
      <c r="P478" s="286">
        <f>IF(H478="已完成",1,IF(H478="待审核",0.8,IF(H478="进行中",0.5,IF(H478="已阻塞",0.25,0))))</f>
        <v/>
      </c>
      <c r="Q478" s="260" t="str"/>
    </row>
    <row r="479" ht="22" customHeight="1" s="48">
      <c r="A479" s="261" t="str"/>
      <c r="B479" s="261" t="str"/>
      <c r="C479" s="261" t="str"/>
      <c r="D479" s="261" t="str"/>
      <c r="E479" s="261" t="str"/>
      <c r="F479" s="261" t="str"/>
      <c r="G479" s="261" t="str"/>
      <c r="H479" s="303" t="str"/>
      <c r="I479" s="261" t="str"/>
      <c r="J479" s="261" t="str"/>
      <c r="K479" s="285" t="str"/>
      <c r="L479" s="285" t="str"/>
      <c r="M479" s="285" t="str"/>
      <c r="N479" s="261" t="str"/>
      <c r="O479" s="261" t="str"/>
      <c r="P479" s="284">
        <f>IF(H479="已完成",1,IF(H479="待审核",0.8,IF(H479="进行中",0.5,IF(H479="已阻塞",0.25,0))))</f>
        <v/>
      </c>
      <c r="Q479" s="261" t="str"/>
    </row>
    <row r="480" ht="22" customHeight="1" s="48">
      <c r="A480" s="260" t="str"/>
      <c r="B480" s="260" t="str"/>
      <c r="C480" s="260" t="str"/>
      <c r="D480" s="260" t="str"/>
      <c r="E480" s="260" t="str"/>
      <c r="F480" s="260" t="str"/>
      <c r="G480" s="260" t="str"/>
      <c r="H480" s="302" t="str"/>
      <c r="I480" s="260" t="str"/>
      <c r="J480" s="260" t="str"/>
      <c r="K480" s="287" t="str"/>
      <c r="L480" s="287" t="str"/>
      <c r="M480" s="287" t="str"/>
      <c r="N480" s="260" t="str"/>
      <c r="O480" s="260" t="str"/>
      <c r="P480" s="286">
        <f>IF(H480="已完成",1,IF(H480="待审核",0.8,IF(H480="进行中",0.5,IF(H480="已阻塞",0.25,0))))</f>
        <v/>
      </c>
      <c r="Q480" s="260" t="str"/>
    </row>
    <row r="481" ht="22" customHeight="1" s="48">
      <c r="A481" s="261" t="str"/>
      <c r="B481" s="261" t="str"/>
      <c r="C481" s="261" t="str"/>
      <c r="D481" s="261" t="str"/>
      <c r="E481" s="261" t="str"/>
      <c r="F481" s="261" t="str"/>
      <c r="G481" s="261" t="str"/>
      <c r="H481" s="303" t="str"/>
      <c r="I481" s="261" t="str"/>
      <c r="J481" s="261" t="str"/>
      <c r="K481" s="285" t="str"/>
      <c r="L481" s="285" t="str"/>
      <c r="M481" s="285" t="str"/>
      <c r="N481" s="261" t="str"/>
      <c r="O481" s="261" t="str"/>
      <c r="P481" s="284">
        <f>IF(H481="已完成",1,IF(H481="待审核",0.8,IF(H481="进行中",0.5,IF(H481="已阻塞",0.25,0))))</f>
        <v/>
      </c>
      <c r="Q481" s="261" t="str"/>
    </row>
    <row r="482" ht="22" customHeight="1" s="48">
      <c r="A482" s="260" t="str"/>
      <c r="B482" s="260" t="str"/>
      <c r="C482" s="260" t="str"/>
      <c r="D482" s="260" t="str"/>
      <c r="E482" s="260" t="str"/>
      <c r="F482" s="260" t="str"/>
      <c r="G482" s="260" t="str"/>
      <c r="H482" s="302" t="str"/>
      <c r="I482" s="260" t="str"/>
      <c r="J482" s="260" t="str"/>
      <c r="K482" s="287" t="str"/>
      <c r="L482" s="287" t="str"/>
      <c r="M482" s="287" t="str"/>
      <c r="N482" s="260" t="str"/>
      <c r="O482" s="260" t="str"/>
      <c r="P482" s="286">
        <f>IF(H482="已完成",1,IF(H482="待审核",0.8,IF(H482="进行中",0.5,IF(H482="已阻塞",0.25,0))))</f>
        <v/>
      </c>
      <c r="Q482" s="260" t="str"/>
    </row>
    <row r="483" ht="22" customHeight="1" s="48">
      <c r="A483" s="261" t="str"/>
      <c r="B483" s="261" t="str"/>
      <c r="C483" s="261" t="str"/>
      <c r="D483" s="261" t="str"/>
      <c r="E483" s="261" t="str"/>
      <c r="F483" s="261" t="str"/>
      <c r="G483" s="261" t="str"/>
      <c r="H483" s="303" t="str"/>
      <c r="I483" s="261" t="str"/>
      <c r="J483" s="261" t="str"/>
      <c r="K483" s="285" t="str"/>
      <c r="L483" s="285" t="str"/>
      <c r="M483" s="285" t="str"/>
      <c r="N483" s="261" t="str"/>
      <c r="O483" s="261" t="str"/>
      <c r="P483" s="284">
        <f>IF(H483="已完成",1,IF(H483="待审核",0.8,IF(H483="进行中",0.5,IF(H483="已阻塞",0.25,0))))</f>
        <v/>
      </c>
      <c r="Q483" s="261" t="str"/>
    </row>
    <row r="484" ht="22" customHeight="1" s="48">
      <c r="A484" s="260" t="str"/>
      <c r="B484" s="260" t="str"/>
      <c r="C484" s="260" t="str"/>
      <c r="D484" s="260" t="str"/>
      <c r="E484" s="260" t="str"/>
      <c r="F484" s="260" t="str"/>
      <c r="G484" s="260" t="str"/>
      <c r="H484" s="302" t="str"/>
      <c r="I484" s="260" t="str"/>
      <c r="J484" s="260" t="str"/>
      <c r="K484" s="287" t="str"/>
      <c r="L484" s="287" t="str"/>
      <c r="M484" s="287" t="str"/>
      <c r="N484" s="260" t="str"/>
      <c r="O484" s="260" t="str"/>
      <c r="P484" s="286">
        <f>IF(H484="已完成",1,IF(H484="待审核",0.8,IF(H484="进行中",0.5,IF(H484="已阻塞",0.25,0))))</f>
        <v/>
      </c>
      <c r="Q484" s="260" t="str"/>
    </row>
    <row r="485" ht="22" customHeight="1" s="48">
      <c r="A485" s="261" t="str"/>
      <c r="B485" s="261" t="str"/>
      <c r="C485" s="261" t="str"/>
      <c r="D485" s="261" t="str"/>
      <c r="E485" s="261" t="str"/>
      <c r="F485" s="261" t="str"/>
      <c r="G485" s="261" t="str"/>
      <c r="H485" s="303" t="str"/>
      <c r="I485" s="261" t="str"/>
      <c r="J485" s="261" t="str"/>
      <c r="K485" s="285" t="str"/>
      <c r="L485" s="285" t="str"/>
      <c r="M485" s="285" t="str"/>
      <c r="N485" s="261" t="str"/>
      <c r="O485" s="261" t="str"/>
      <c r="P485" s="284">
        <f>IF(H485="已完成",1,IF(H485="待审核",0.8,IF(H485="进行中",0.5,IF(H485="已阻塞",0.25,0))))</f>
        <v/>
      </c>
      <c r="Q485" s="261" t="str"/>
    </row>
    <row r="486" ht="22" customHeight="1" s="48">
      <c r="A486" s="260" t="str"/>
      <c r="B486" s="260" t="str"/>
      <c r="C486" s="260" t="str"/>
      <c r="D486" s="260" t="str"/>
      <c r="E486" s="260" t="str"/>
      <c r="F486" s="260" t="str"/>
      <c r="G486" s="260" t="str"/>
      <c r="H486" s="302" t="str"/>
      <c r="I486" s="260" t="str"/>
      <c r="J486" s="260" t="str"/>
      <c r="K486" s="287" t="str"/>
      <c r="L486" s="287" t="str"/>
      <c r="M486" s="287" t="str"/>
      <c r="N486" s="260" t="str"/>
      <c r="O486" s="260" t="str"/>
      <c r="P486" s="286">
        <f>IF(H486="已完成",1,IF(H486="待审核",0.8,IF(H486="进行中",0.5,IF(H486="已阻塞",0.25,0))))</f>
        <v/>
      </c>
      <c r="Q486" s="260" t="str"/>
    </row>
    <row r="487" ht="22" customHeight="1" s="48">
      <c r="A487" s="261" t="str"/>
      <c r="B487" s="261" t="str"/>
      <c r="C487" s="261" t="str"/>
      <c r="D487" s="261" t="str"/>
      <c r="E487" s="261" t="str"/>
      <c r="F487" s="261" t="str"/>
      <c r="G487" s="261" t="str"/>
      <c r="H487" s="303" t="str"/>
      <c r="I487" s="261" t="str"/>
      <c r="J487" s="261" t="str"/>
      <c r="K487" s="285" t="str"/>
      <c r="L487" s="285" t="str"/>
      <c r="M487" s="285" t="str"/>
      <c r="N487" s="261" t="str"/>
      <c r="O487" s="261" t="str"/>
      <c r="P487" s="284">
        <f>IF(H487="已完成",1,IF(H487="待审核",0.8,IF(H487="进行中",0.5,IF(H487="已阻塞",0.25,0))))</f>
        <v/>
      </c>
      <c r="Q487" s="261" t="str"/>
    </row>
    <row r="488" ht="22" customHeight="1" s="48">
      <c r="A488" s="260" t="str"/>
      <c r="B488" s="260" t="str"/>
      <c r="C488" s="260" t="str"/>
      <c r="D488" s="260" t="str"/>
      <c r="E488" s="260" t="str"/>
      <c r="F488" s="260" t="str"/>
      <c r="G488" s="260" t="str"/>
      <c r="H488" s="302" t="str"/>
      <c r="I488" s="260" t="str"/>
      <c r="J488" s="260" t="str"/>
      <c r="K488" s="287" t="str"/>
      <c r="L488" s="287" t="str"/>
      <c r="M488" s="287" t="str"/>
      <c r="N488" s="260" t="str"/>
      <c r="O488" s="260" t="str"/>
      <c r="P488" s="286">
        <f>IF(H488="已完成",1,IF(H488="待审核",0.8,IF(H488="进行中",0.5,IF(H488="已阻塞",0.25,0))))</f>
        <v/>
      </c>
      <c r="Q488" s="260" t="str"/>
    </row>
    <row r="489" ht="22" customHeight="1" s="48">
      <c r="A489" s="261" t="str"/>
      <c r="B489" s="261" t="str"/>
      <c r="C489" s="261" t="str"/>
      <c r="D489" s="261" t="str"/>
      <c r="E489" s="261" t="str"/>
      <c r="F489" s="261" t="str"/>
      <c r="G489" s="261" t="str"/>
      <c r="H489" s="303" t="str"/>
      <c r="I489" s="261" t="str"/>
      <c r="J489" s="261" t="str"/>
      <c r="K489" s="285" t="str"/>
      <c r="L489" s="285" t="str"/>
      <c r="M489" s="285" t="str"/>
      <c r="N489" s="261" t="str"/>
      <c r="O489" s="261" t="str"/>
      <c r="P489" s="284">
        <f>IF(H489="已完成",1,IF(H489="待审核",0.8,IF(H489="进行中",0.5,IF(H489="已阻塞",0.25,0))))</f>
        <v/>
      </c>
      <c r="Q489" s="261" t="str"/>
    </row>
    <row r="490" ht="22" customHeight="1" s="48">
      <c r="A490" s="260" t="str"/>
      <c r="B490" s="260" t="str"/>
      <c r="C490" s="260" t="str"/>
      <c r="D490" s="260" t="str"/>
      <c r="E490" s="260" t="str"/>
      <c r="F490" s="260" t="str"/>
      <c r="G490" s="260" t="str"/>
      <c r="H490" s="302" t="str"/>
      <c r="I490" s="260" t="str"/>
      <c r="J490" s="260" t="str"/>
      <c r="K490" s="287" t="str"/>
      <c r="L490" s="287" t="str"/>
      <c r="M490" s="287" t="str"/>
      <c r="N490" s="260" t="str"/>
      <c r="O490" s="260" t="str"/>
      <c r="P490" s="286">
        <f>IF(H490="已完成",1,IF(H490="待审核",0.8,IF(H490="进行中",0.5,IF(H490="已阻塞",0.25,0))))</f>
        <v/>
      </c>
      <c r="Q490" s="260" t="str"/>
    </row>
    <row r="491" ht="22" customHeight="1" s="48">
      <c r="A491" s="261" t="str"/>
      <c r="B491" s="261" t="str"/>
      <c r="C491" s="261" t="str"/>
      <c r="D491" s="261" t="str"/>
      <c r="E491" s="261" t="str"/>
      <c r="F491" s="261" t="str"/>
      <c r="G491" s="261" t="str"/>
      <c r="H491" s="303" t="str"/>
      <c r="I491" s="261" t="str"/>
      <c r="J491" s="261" t="str"/>
      <c r="K491" s="285" t="str"/>
      <c r="L491" s="285" t="str"/>
      <c r="M491" s="285" t="str"/>
      <c r="N491" s="261" t="str"/>
      <c r="O491" s="261" t="str"/>
      <c r="P491" s="284">
        <f>IF(H491="已完成",1,IF(H491="待审核",0.8,IF(H491="进行中",0.5,IF(H491="已阻塞",0.25,0))))</f>
        <v/>
      </c>
      <c r="Q491" s="261" t="str"/>
    </row>
    <row r="492" ht="22" customHeight="1" s="48">
      <c r="A492" s="260" t="str"/>
      <c r="B492" s="260" t="str"/>
      <c r="C492" s="260" t="str"/>
      <c r="D492" s="260" t="str"/>
      <c r="E492" s="260" t="str"/>
      <c r="F492" s="260" t="str"/>
      <c r="G492" s="260" t="str"/>
      <c r="H492" s="302" t="str"/>
      <c r="I492" s="260" t="str"/>
      <c r="J492" s="260" t="str"/>
      <c r="K492" s="287" t="str"/>
      <c r="L492" s="287" t="str"/>
      <c r="M492" s="287" t="str"/>
      <c r="N492" s="260" t="str"/>
      <c r="O492" s="260" t="str"/>
      <c r="P492" s="286">
        <f>IF(H492="已完成",1,IF(H492="待审核",0.8,IF(H492="进行中",0.5,IF(H492="已阻塞",0.25,0))))</f>
        <v/>
      </c>
      <c r="Q492" s="260" t="str"/>
    </row>
    <row r="493" ht="22" customHeight="1" s="48">
      <c r="A493" s="261" t="str"/>
      <c r="B493" s="261" t="str"/>
      <c r="C493" s="261" t="str"/>
      <c r="D493" s="261" t="str"/>
      <c r="E493" s="261" t="str"/>
      <c r="F493" s="261" t="str"/>
      <c r="G493" s="261" t="str"/>
      <c r="H493" s="303" t="str"/>
      <c r="I493" s="261" t="str"/>
      <c r="J493" s="261" t="str"/>
      <c r="K493" s="285" t="str"/>
      <c r="L493" s="285" t="str"/>
      <c r="M493" s="285" t="str"/>
      <c r="N493" s="261" t="str"/>
      <c r="O493" s="261" t="str"/>
      <c r="P493" s="284">
        <f>IF(H493="已完成",1,IF(H493="待审核",0.8,IF(H493="进行中",0.5,IF(H493="已阻塞",0.25,0))))</f>
        <v/>
      </c>
      <c r="Q493" s="261" t="str"/>
    </row>
    <row r="494" ht="22" customHeight="1" s="48">
      <c r="A494" s="260" t="str"/>
      <c r="B494" s="260" t="str"/>
      <c r="C494" s="260" t="str"/>
      <c r="D494" s="260" t="str"/>
      <c r="E494" s="260" t="str"/>
      <c r="F494" s="260" t="str"/>
      <c r="G494" s="260" t="str"/>
      <c r="H494" s="302" t="str"/>
      <c r="I494" s="260" t="str"/>
      <c r="J494" s="260" t="str"/>
      <c r="K494" s="287" t="str"/>
      <c r="L494" s="287" t="str"/>
      <c r="M494" s="287" t="str"/>
      <c r="N494" s="260" t="str"/>
      <c r="O494" s="260" t="str"/>
      <c r="P494" s="286">
        <f>IF(H494="已完成",1,IF(H494="待审核",0.8,IF(H494="进行中",0.5,IF(H494="已阻塞",0.25,0))))</f>
        <v/>
      </c>
      <c r="Q494" s="260" t="str"/>
    </row>
    <row r="495" ht="22" customHeight="1" s="48">
      <c r="A495" s="261" t="str"/>
      <c r="B495" s="261" t="str"/>
      <c r="C495" s="261" t="str"/>
      <c r="D495" s="261" t="str"/>
      <c r="E495" s="261" t="str"/>
      <c r="F495" s="261" t="str"/>
      <c r="G495" s="261" t="str"/>
      <c r="H495" s="303" t="str"/>
      <c r="I495" s="261" t="str"/>
      <c r="J495" s="261" t="str"/>
      <c r="K495" s="285" t="str"/>
      <c r="L495" s="285" t="str"/>
      <c r="M495" s="285" t="str"/>
      <c r="N495" s="261" t="str"/>
      <c r="O495" s="261" t="str"/>
      <c r="P495" s="284">
        <f>IF(H495="已完成",1,IF(H495="待审核",0.8,IF(H495="进行中",0.5,IF(H495="已阻塞",0.25,0))))</f>
        <v/>
      </c>
      <c r="Q495" s="261" t="str"/>
    </row>
    <row r="496" ht="22" customHeight="1" s="48">
      <c r="A496" s="260" t="str"/>
      <c r="B496" s="260" t="str"/>
      <c r="C496" s="260" t="str"/>
      <c r="D496" s="260" t="str"/>
      <c r="E496" s="260" t="str"/>
      <c r="F496" s="260" t="str"/>
      <c r="G496" s="260" t="str"/>
      <c r="H496" s="302" t="str"/>
      <c r="I496" s="260" t="str"/>
      <c r="J496" s="260" t="str"/>
      <c r="K496" s="287" t="str"/>
      <c r="L496" s="287" t="str"/>
      <c r="M496" s="287" t="str"/>
      <c r="N496" s="260" t="str"/>
      <c r="O496" s="260" t="str"/>
      <c r="P496" s="286">
        <f>IF(H496="已完成",1,IF(H496="待审核",0.8,IF(H496="进行中",0.5,IF(H496="已阻塞",0.25,0))))</f>
        <v/>
      </c>
      <c r="Q496" s="260" t="str"/>
    </row>
    <row r="497" ht="22" customHeight="1" s="48">
      <c r="A497" s="261" t="str"/>
      <c r="B497" s="261" t="str"/>
      <c r="C497" s="261" t="str"/>
      <c r="D497" s="261" t="str"/>
      <c r="E497" s="261" t="str"/>
      <c r="F497" s="261" t="str"/>
      <c r="G497" s="261" t="str"/>
      <c r="H497" s="303" t="str"/>
      <c r="I497" s="261" t="str"/>
      <c r="J497" s="261" t="str"/>
      <c r="K497" s="285" t="str"/>
      <c r="L497" s="285" t="str"/>
      <c r="M497" s="285" t="str"/>
      <c r="N497" s="261" t="str"/>
      <c r="O497" s="261" t="str"/>
      <c r="P497" s="284">
        <f>IF(H497="已完成",1,IF(H497="待审核",0.8,IF(H497="进行中",0.5,IF(H497="已阻塞",0.25,0))))</f>
        <v/>
      </c>
      <c r="Q497" s="261" t="str"/>
    </row>
    <row r="498" ht="22" customHeight="1" s="48">
      <c r="A498" s="260" t="str"/>
      <c r="B498" s="260" t="str"/>
      <c r="C498" s="260" t="str"/>
      <c r="D498" s="260" t="str"/>
      <c r="E498" s="260" t="str"/>
      <c r="F498" s="260" t="str"/>
      <c r="G498" s="260" t="str"/>
      <c r="H498" s="302" t="str"/>
      <c r="I498" s="260" t="str"/>
      <c r="J498" s="260" t="str"/>
      <c r="K498" s="287" t="str"/>
      <c r="L498" s="287" t="str"/>
      <c r="M498" s="287" t="str"/>
      <c r="N498" s="260" t="str"/>
      <c r="O498" s="260" t="str"/>
      <c r="P498" s="286">
        <f>IF(H498="已完成",1,IF(H498="待审核",0.8,IF(H498="进行中",0.5,IF(H498="已阻塞",0.25,0))))</f>
        <v/>
      </c>
      <c r="Q498" s="260" t="str"/>
    </row>
    <row r="499" ht="22" customHeight="1" s="48">
      <c r="A499" s="261" t="str"/>
      <c r="B499" s="261" t="str"/>
      <c r="C499" s="261" t="str"/>
      <c r="D499" s="261" t="str"/>
      <c r="E499" s="261" t="str"/>
      <c r="F499" s="261" t="str"/>
      <c r="G499" s="261" t="str"/>
      <c r="H499" s="303" t="str"/>
      <c r="I499" s="261" t="str"/>
      <c r="J499" s="261" t="str"/>
      <c r="K499" s="285" t="str"/>
      <c r="L499" s="285" t="str"/>
      <c r="M499" s="285" t="str"/>
      <c r="N499" s="261" t="str"/>
      <c r="O499" s="261" t="str"/>
      <c r="P499" s="284">
        <f>IF(H499="已完成",1,IF(H499="待审核",0.8,IF(H499="进行中",0.5,IF(H499="已阻塞",0.25,0))))</f>
        <v/>
      </c>
      <c r="Q499" s="261" t="str"/>
    </row>
    <row r="500" ht="22" customHeight="1" s="48">
      <c r="A500" s="260" t="str"/>
      <c r="B500" s="260" t="str"/>
      <c r="C500" s="260" t="str"/>
      <c r="D500" s="260" t="str"/>
      <c r="E500" s="260" t="str"/>
      <c r="F500" s="260" t="str"/>
      <c r="G500" s="260" t="str"/>
      <c r="H500" s="302" t="str"/>
      <c r="I500" s="260" t="str"/>
      <c r="J500" s="260" t="str"/>
      <c r="K500" s="287" t="str"/>
      <c r="L500" s="287" t="str"/>
      <c r="M500" s="287" t="str"/>
      <c r="N500" s="260" t="str"/>
      <c r="O500" s="260" t="str"/>
      <c r="P500" s="286">
        <f>IF(H500="已完成",1,IF(H500="待审核",0.8,IF(H500="进行中",0.5,IF(H500="已阻塞",0.25,0))))</f>
        <v/>
      </c>
      <c r="Q500" s="260" t="str"/>
    </row>
  </sheetData>
  <mergeCells count="1">
    <mergeCell ref="A1:Q1"/>
  </mergeCells>
  <conditionalFormatting sqref="P4:P500">
    <cfRule type="dataBar" priority="1">
      <dataBar>
        <cfvo type="min"/>
        <cfvo type="max"/>
        <color rgb="FF1C8C80"/>
      </dataBar>
    </cfRule>
  </conditionalFormatting>
  <conditionalFormatting sqref="H4:H500">
    <cfRule type="expression" priority="2" dxfId="2">
      <formula>$H4="已完成"</formula>
    </cfRule>
    <cfRule type="expression" priority="3" dxfId="0">
      <formula>$H4="已阻塞"</formula>
    </cfRule>
  </conditionalFormatting>
  <conditionalFormatting sqref="M4:M500">
    <cfRule type="expression" priority="4" dxfId="4">
      <formula>AND($M4&lt;TODAY(),$H4&lt;&gt;"已完成",$A4&lt;&gt;"")</formula>
    </cfRule>
  </conditionalFormatting>
  <dataValidations count="2">
    <dataValidation sqref="H4:H500" showDropDown="0" showInputMessage="0" showErrorMessage="0" allowBlank="0" type="list">
      <formula1>"未开始,进行中,待审核,已完成,已阻塞,取消"</formula1>
    </dataValidation>
    <dataValidation sqref="I4:I500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4B8A6"/>
    <outlinePr summaryBelow="1" summaryRight="1"/>
    <pageSetUpPr/>
  </sheetPr>
  <dimension ref="A1:Q30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48" min="1" max="1"/>
    <col width="12" customWidth="1" style="48" min="2" max="2"/>
    <col width="18" customWidth="1" style="48" min="3" max="3"/>
    <col width="24" customWidth="1" style="48" min="4" max="4"/>
    <col width="10" customWidth="1" style="48" min="5" max="5"/>
    <col width="16" customWidth="1" style="48" min="6" max="6"/>
    <col width="12" customWidth="1" style="48" min="7" max="7"/>
    <col width="12" customWidth="1" style="48" min="8" max="8"/>
    <col width="24" customWidth="1" style="48" min="9" max="9"/>
    <col width="24" customWidth="1" style="48" min="10" max="10"/>
    <col width="18" customWidth="1" style="48" min="11" max="11"/>
    <col width="8" customWidth="1" style="48" min="12" max="12"/>
    <col width="16" customWidth="1" style="48" min="13" max="13"/>
    <col width="14" customWidth="1" style="48" min="14" max="14"/>
    <col width="12" customWidth="1" style="48" min="15" max="15"/>
    <col width="10" customWidth="1" style="48" min="16" max="16"/>
    <col width="14" customWidth="1" style="48" min="17" max="17"/>
  </cols>
  <sheetData>
    <row r="1" ht="28" customHeight="1" s="48">
      <c r="A1" s="255" t="inlineStr">
        <is>
          <t>研究库｜Research Evidence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0" customHeight="1" s="48">
      <c r="A2" s="256" t="n"/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  <c r="O2" s="256" t="n"/>
      <c r="P2" s="256" t="n"/>
      <c r="Q2" s="256" t="n"/>
    </row>
    <row r="3" ht="24" customHeight="1" s="48">
      <c r="A3" s="259" t="inlineStr">
        <is>
          <t>Video ID</t>
        </is>
      </c>
      <c r="B3" s="259" t="inlineStr">
        <is>
          <t>Source ID</t>
        </is>
      </c>
      <c r="C3" s="259" t="inlineStr">
        <is>
          <t>研究问题</t>
        </is>
      </c>
      <c r="D3" s="259" t="inlineStr">
        <is>
          <t>来源标题</t>
        </is>
      </c>
      <c r="E3" s="259" t="inlineStr">
        <is>
          <t>来源类型</t>
        </is>
      </c>
      <c r="F3" s="259" t="inlineStr">
        <is>
          <t>作者/机构</t>
        </is>
      </c>
      <c r="G3" s="259" t="inlineStr">
        <is>
          <t>发布日期</t>
        </is>
      </c>
      <c r="H3" s="259" t="inlineStr">
        <is>
          <t>访问日期</t>
        </is>
      </c>
      <c r="I3" s="259" t="inlineStr">
        <is>
          <t>URL</t>
        </is>
      </c>
      <c r="J3" s="259" t="inlineStr">
        <is>
          <t>核心事实/观点</t>
        </is>
      </c>
      <c r="K3" s="259" t="inlineStr">
        <is>
          <t>直接引用(少量)</t>
        </is>
      </c>
      <c r="L3" s="259" t="inlineStr">
        <is>
          <t>可信度</t>
        </is>
      </c>
      <c r="M3" s="259" t="inlineStr">
        <is>
          <t>立场/偏差</t>
        </is>
      </c>
      <c r="N3" s="259" t="inlineStr">
        <is>
          <t>可用于脚本位置</t>
        </is>
      </c>
      <c r="O3" s="259" t="inlineStr">
        <is>
          <t>事实/观点/推断</t>
        </is>
      </c>
      <c r="P3" s="259" t="inlineStr">
        <is>
          <t>已核验</t>
        </is>
      </c>
      <c r="Q3" s="259" t="inlineStr">
        <is>
          <t>备注</t>
        </is>
      </c>
    </row>
    <row r="4" ht="22" customHeight="1" s="48">
      <c r="A4" s="260" t="inlineStr">
        <is>
          <t>YT-001</t>
        </is>
      </c>
      <c r="B4" s="260" t="inlineStr">
        <is>
          <t>SRC-001</t>
        </is>
      </c>
      <c r="C4" s="260" t="inlineStr">
        <is>
          <t>Bicentennial Man 的未来生活视觉有哪些特征？</t>
        </is>
      </c>
      <c r="D4" s="260" t="inlineStr">
        <is>
          <t>Bicentennial Man</t>
        </is>
      </c>
      <c r="E4" s="260" t="inlineStr">
        <is>
          <t>电影</t>
        </is>
      </c>
      <c r="F4" s="260" t="inlineStr">
        <is>
          <t>Touchstone Pictures</t>
        </is>
      </c>
      <c r="G4" s="287" t="n">
        <v>36511</v>
      </c>
      <c r="H4" s="287" t="n">
        <v>46233</v>
      </c>
      <c r="I4" s="260" t="inlineStr">
        <is>
          <t>https://www.imdb.com/title/tt0182789/</t>
        </is>
      </c>
      <c r="J4" s="260" t="inlineStr">
        <is>
          <t>未来科技被放入温暖、日常和家庭化的环境中。</t>
        </is>
      </c>
      <c r="K4" s="260" t="str"/>
      <c r="L4" s="260" t="inlineStr">
        <is>
          <t>中</t>
        </is>
      </c>
      <c r="M4" s="260" t="inlineStr">
        <is>
          <t>影视文本本身带有创作者立场</t>
        </is>
      </c>
      <c r="N4" s="260" t="inlineStr">
        <is>
          <t>开场与视觉基调</t>
        </is>
      </c>
      <c r="O4" s="260" t="inlineStr">
        <is>
          <t>观点</t>
        </is>
      </c>
      <c r="P4" s="260" t="inlineStr">
        <is>
          <t>是</t>
        </is>
      </c>
      <c r="Q4" s="260" t="inlineStr">
        <is>
          <t>示例来源</t>
        </is>
      </c>
    </row>
    <row r="5" ht="20" customHeight="1" s="48">
      <c r="A5" s="304" t="str"/>
      <c r="B5" s="256" t="str"/>
      <c r="C5" s="256" t="str"/>
      <c r="D5" s="256" t="str"/>
      <c r="E5" s="256" t="str"/>
      <c r="F5" s="256" t="str"/>
      <c r="G5" s="305" t="str"/>
      <c r="H5" s="305" t="str"/>
      <c r="I5" s="256" t="str"/>
      <c r="J5" s="256" t="str"/>
      <c r="K5" s="256" t="str"/>
      <c r="L5" s="256" t="str"/>
      <c r="M5" s="256" t="str"/>
      <c r="N5" s="256" t="str"/>
      <c r="O5" s="256" t="str"/>
      <c r="P5" s="256" t="str"/>
      <c r="Q5" s="306" t="str"/>
    </row>
    <row r="6" ht="20" customHeight="1" s="48">
      <c r="A6" s="304" t="str"/>
      <c r="B6" s="256" t="str"/>
      <c r="C6" s="256" t="str"/>
      <c r="D6" s="256" t="str"/>
      <c r="E6" s="256" t="str"/>
      <c r="F6" s="256" t="str"/>
      <c r="G6" s="305" t="str"/>
      <c r="H6" s="305" t="str"/>
      <c r="I6" s="256" t="str"/>
      <c r="J6" s="256" t="str"/>
      <c r="K6" s="256" t="str"/>
      <c r="L6" s="256" t="str"/>
      <c r="M6" s="256" t="str"/>
      <c r="N6" s="256" t="str"/>
      <c r="O6" s="256" t="str"/>
      <c r="P6" s="256" t="str"/>
      <c r="Q6" s="306" t="str"/>
    </row>
    <row r="7" ht="20" customHeight="1" s="48">
      <c r="A7" s="304" t="str"/>
      <c r="B7" s="256" t="str"/>
      <c r="C7" s="256" t="str"/>
      <c r="D7" s="256" t="str"/>
      <c r="E7" s="256" t="str"/>
      <c r="F7" s="256" t="str"/>
      <c r="G7" s="305" t="str"/>
      <c r="H7" s="305" t="str"/>
      <c r="I7" s="256" t="str"/>
      <c r="J7" s="256" t="str"/>
      <c r="K7" s="256" t="str"/>
      <c r="L7" s="256" t="str"/>
      <c r="M7" s="256" t="str"/>
      <c r="N7" s="256" t="str"/>
      <c r="O7" s="256" t="str"/>
      <c r="P7" s="256" t="str"/>
      <c r="Q7" s="306" t="str"/>
    </row>
    <row r="8" ht="20" customHeight="1" s="48">
      <c r="A8" s="304" t="str"/>
      <c r="B8" s="256" t="str"/>
      <c r="C8" s="256" t="str"/>
      <c r="D8" s="256" t="str"/>
      <c r="E8" s="256" t="str"/>
      <c r="F8" s="256" t="str"/>
      <c r="G8" s="305" t="str"/>
      <c r="H8" s="305" t="str"/>
      <c r="I8" s="256" t="str"/>
      <c r="J8" s="256" t="str"/>
      <c r="K8" s="256" t="str"/>
      <c r="L8" s="256" t="str"/>
      <c r="M8" s="256" t="str"/>
      <c r="N8" s="256" t="str"/>
      <c r="O8" s="256" t="str"/>
      <c r="P8" s="256" t="str"/>
      <c r="Q8" s="306" t="str"/>
    </row>
    <row r="9" ht="20" customHeight="1" s="48">
      <c r="A9" s="304" t="str"/>
      <c r="B9" s="256" t="str"/>
      <c r="C9" s="256" t="str"/>
      <c r="D9" s="256" t="str"/>
      <c r="E9" s="256" t="str"/>
      <c r="F9" s="256" t="str"/>
      <c r="G9" s="305" t="str"/>
      <c r="H9" s="305" t="str"/>
      <c r="I9" s="256" t="str"/>
      <c r="J9" s="256" t="str"/>
      <c r="K9" s="256" t="str"/>
      <c r="L9" s="256" t="str"/>
      <c r="M9" s="256" t="str"/>
      <c r="N9" s="256" t="str"/>
      <c r="O9" s="256" t="str"/>
      <c r="P9" s="256" t="str"/>
      <c r="Q9" s="306" t="str"/>
    </row>
    <row r="10" ht="20" customHeight="1" s="48">
      <c r="A10" s="304" t="str"/>
      <c r="B10" s="256" t="str"/>
      <c r="C10" s="256" t="str"/>
      <c r="D10" s="256" t="str"/>
      <c r="E10" s="256" t="str"/>
      <c r="F10" s="256" t="str"/>
      <c r="G10" s="305" t="str"/>
      <c r="H10" s="305" t="str"/>
      <c r="I10" s="256" t="str"/>
      <c r="J10" s="256" t="str"/>
      <c r="K10" s="256" t="str"/>
      <c r="L10" s="256" t="str"/>
      <c r="M10" s="256" t="str"/>
      <c r="N10" s="256" t="str"/>
      <c r="O10" s="256" t="str"/>
      <c r="P10" s="256" t="str"/>
      <c r="Q10" s="306" t="str"/>
    </row>
    <row r="11" ht="20" customHeight="1" s="48">
      <c r="A11" s="304" t="str"/>
      <c r="B11" s="256" t="str"/>
      <c r="C11" s="256" t="str"/>
      <c r="D11" s="256" t="str"/>
      <c r="E11" s="256" t="str"/>
      <c r="F11" s="256" t="str"/>
      <c r="G11" s="305" t="str"/>
      <c r="H11" s="305" t="str"/>
      <c r="I11" s="256" t="str"/>
      <c r="J11" s="256" t="str"/>
      <c r="K11" s="256" t="str"/>
      <c r="L11" s="256" t="str"/>
      <c r="M11" s="256" t="str"/>
      <c r="N11" s="256" t="str"/>
      <c r="O11" s="256" t="str"/>
      <c r="P11" s="256" t="str"/>
      <c r="Q11" s="306" t="str"/>
    </row>
    <row r="12" ht="20" customHeight="1" s="48">
      <c r="A12" s="304" t="str"/>
      <c r="B12" s="256" t="str"/>
      <c r="C12" s="256" t="str"/>
      <c r="D12" s="256" t="str"/>
      <c r="E12" s="256" t="str"/>
      <c r="F12" s="256" t="str"/>
      <c r="G12" s="305" t="str"/>
      <c r="H12" s="305" t="str"/>
      <c r="I12" s="256" t="str"/>
      <c r="J12" s="256" t="str"/>
      <c r="K12" s="256" t="str"/>
      <c r="L12" s="256" t="str"/>
      <c r="M12" s="256" t="str"/>
      <c r="N12" s="256" t="str"/>
      <c r="O12" s="256" t="str"/>
      <c r="P12" s="256" t="str"/>
      <c r="Q12" s="306" t="str"/>
    </row>
    <row r="13" ht="20" customHeight="1" s="48">
      <c r="A13" s="304" t="str"/>
      <c r="B13" s="256" t="str"/>
      <c r="C13" s="256" t="str"/>
      <c r="D13" s="256" t="str"/>
      <c r="E13" s="256" t="str"/>
      <c r="F13" s="256" t="str"/>
      <c r="G13" s="305" t="str"/>
      <c r="H13" s="305" t="str"/>
      <c r="I13" s="256" t="str"/>
      <c r="J13" s="256" t="str"/>
      <c r="K13" s="256" t="str"/>
      <c r="L13" s="256" t="str"/>
      <c r="M13" s="256" t="str"/>
      <c r="N13" s="256" t="str"/>
      <c r="O13" s="256" t="str"/>
      <c r="P13" s="256" t="str"/>
      <c r="Q13" s="306" t="str"/>
    </row>
    <row r="14" ht="20" customHeight="1" s="48">
      <c r="A14" s="304" t="str"/>
      <c r="B14" s="256" t="str"/>
      <c r="C14" s="256" t="str"/>
      <c r="D14" s="256" t="str"/>
      <c r="E14" s="256" t="str"/>
      <c r="F14" s="256" t="str"/>
      <c r="G14" s="305" t="str"/>
      <c r="H14" s="305" t="str"/>
      <c r="I14" s="256" t="str"/>
      <c r="J14" s="256" t="str"/>
      <c r="K14" s="256" t="str"/>
      <c r="L14" s="256" t="str"/>
      <c r="M14" s="256" t="str"/>
      <c r="N14" s="256" t="str"/>
      <c r="O14" s="256" t="str"/>
      <c r="P14" s="256" t="str"/>
      <c r="Q14" s="306" t="str"/>
    </row>
    <row r="15" ht="20" customHeight="1" s="48">
      <c r="A15" s="304" t="str"/>
      <c r="B15" s="256" t="str"/>
      <c r="C15" s="256" t="str"/>
      <c r="D15" s="256" t="str"/>
      <c r="E15" s="256" t="str"/>
      <c r="F15" s="256" t="str"/>
      <c r="G15" s="305" t="str"/>
      <c r="H15" s="305" t="str"/>
      <c r="I15" s="256" t="str"/>
      <c r="J15" s="256" t="str"/>
      <c r="K15" s="256" t="str"/>
      <c r="L15" s="256" t="str"/>
      <c r="M15" s="256" t="str"/>
      <c r="N15" s="256" t="str"/>
      <c r="O15" s="256" t="str"/>
      <c r="P15" s="256" t="str"/>
      <c r="Q15" s="306" t="str"/>
    </row>
    <row r="16" ht="20" customHeight="1" s="48">
      <c r="A16" s="304" t="str"/>
      <c r="B16" s="256" t="str"/>
      <c r="C16" s="256" t="str"/>
      <c r="D16" s="256" t="str"/>
      <c r="E16" s="256" t="str"/>
      <c r="F16" s="256" t="str"/>
      <c r="G16" s="305" t="str"/>
      <c r="H16" s="305" t="str"/>
      <c r="I16" s="256" t="str"/>
      <c r="J16" s="256" t="str"/>
      <c r="K16" s="256" t="str"/>
      <c r="L16" s="256" t="str"/>
      <c r="M16" s="256" t="str"/>
      <c r="N16" s="256" t="str"/>
      <c r="O16" s="256" t="str"/>
      <c r="P16" s="256" t="str"/>
      <c r="Q16" s="306" t="str"/>
    </row>
    <row r="17" ht="20" customHeight="1" s="48">
      <c r="A17" s="304" t="str"/>
      <c r="B17" s="256" t="str"/>
      <c r="C17" s="256" t="str"/>
      <c r="D17" s="256" t="str"/>
      <c r="E17" s="256" t="str"/>
      <c r="F17" s="256" t="str"/>
      <c r="G17" s="305" t="str"/>
      <c r="H17" s="305" t="str"/>
      <c r="I17" s="256" t="str"/>
      <c r="J17" s="256" t="str"/>
      <c r="K17" s="256" t="str"/>
      <c r="L17" s="256" t="str"/>
      <c r="M17" s="256" t="str"/>
      <c r="N17" s="256" t="str"/>
      <c r="O17" s="256" t="str"/>
      <c r="P17" s="256" t="str"/>
      <c r="Q17" s="306" t="str"/>
    </row>
    <row r="18" ht="20" customHeight="1" s="48">
      <c r="A18" s="304" t="str"/>
      <c r="B18" s="256" t="str"/>
      <c r="C18" s="256" t="str"/>
      <c r="D18" s="256" t="str"/>
      <c r="E18" s="256" t="str"/>
      <c r="F18" s="256" t="str"/>
      <c r="G18" s="305" t="str"/>
      <c r="H18" s="305" t="str"/>
      <c r="I18" s="256" t="str"/>
      <c r="J18" s="256" t="str"/>
      <c r="K18" s="256" t="str"/>
      <c r="L18" s="256" t="str"/>
      <c r="M18" s="256" t="str"/>
      <c r="N18" s="256" t="str"/>
      <c r="O18" s="256" t="str"/>
      <c r="P18" s="256" t="str"/>
      <c r="Q18" s="306" t="str"/>
    </row>
    <row r="19" ht="20" customHeight="1" s="48">
      <c r="A19" s="304" t="str"/>
      <c r="B19" s="256" t="str"/>
      <c r="C19" s="256" t="str"/>
      <c r="D19" s="256" t="str"/>
      <c r="E19" s="256" t="str"/>
      <c r="F19" s="256" t="str"/>
      <c r="G19" s="305" t="str"/>
      <c r="H19" s="305" t="str"/>
      <c r="I19" s="256" t="str"/>
      <c r="J19" s="256" t="str"/>
      <c r="K19" s="256" t="str"/>
      <c r="L19" s="256" t="str"/>
      <c r="M19" s="256" t="str"/>
      <c r="N19" s="256" t="str"/>
      <c r="O19" s="256" t="str"/>
      <c r="P19" s="256" t="str"/>
      <c r="Q19" s="306" t="str"/>
    </row>
    <row r="20" ht="20" customHeight="1" s="48">
      <c r="A20" s="304" t="str"/>
      <c r="B20" s="256" t="str"/>
      <c r="C20" s="256" t="str"/>
      <c r="D20" s="256" t="str"/>
      <c r="E20" s="256" t="str"/>
      <c r="F20" s="256" t="str"/>
      <c r="G20" s="305" t="str"/>
      <c r="H20" s="305" t="str"/>
      <c r="I20" s="256" t="str"/>
      <c r="J20" s="256" t="str"/>
      <c r="K20" s="256" t="str"/>
      <c r="L20" s="256" t="str"/>
      <c r="M20" s="256" t="str"/>
      <c r="N20" s="256" t="str"/>
      <c r="O20" s="256" t="str"/>
      <c r="P20" s="256" t="str"/>
      <c r="Q20" s="306" t="str"/>
    </row>
    <row r="21" ht="20" customHeight="1" s="48">
      <c r="A21" s="304" t="str"/>
      <c r="B21" s="256" t="str"/>
      <c r="C21" s="256" t="str"/>
      <c r="D21" s="256" t="str"/>
      <c r="E21" s="256" t="str"/>
      <c r="F21" s="256" t="str"/>
      <c r="G21" s="305" t="str"/>
      <c r="H21" s="305" t="str"/>
      <c r="I21" s="256" t="str"/>
      <c r="J21" s="256" t="str"/>
      <c r="K21" s="256" t="str"/>
      <c r="L21" s="256" t="str"/>
      <c r="M21" s="256" t="str"/>
      <c r="N21" s="256" t="str"/>
      <c r="O21" s="256" t="str"/>
      <c r="P21" s="256" t="str"/>
      <c r="Q21" s="306" t="str"/>
    </row>
    <row r="22" ht="20" customHeight="1" s="48">
      <c r="A22" s="304" t="str"/>
      <c r="B22" s="256" t="str"/>
      <c r="C22" s="256" t="str"/>
      <c r="D22" s="256" t="str"/>
      <c r="E22" s="256" t="str"/>
      <c r="F22" s="256" t="str"/>
      <c r="G22" s="305" t="str"/>
      <c r="H22" s="305" t="str"/>
      <c r="I22" s="256" t="str"/>
      <c r="J22" s="256" t="str"/>
      <c r="K22" s="256" t="str"/>
      <c r="L22" s="256" t="str"/>
      <c r="M22" s="256" t="str"/>
      <c r="N22" s="256" t="str"/>
      <c r="O22" s="256" t="str"/>
      <c r="P22" s="256" t="str"/>
      <c r="Q22" s="306" t="str"/>
    </row>
    <row r="23" ht="20" customHeight="1" s="48">
      <c r="A23" s="304" t="str"/>
      <c r="B23" s="256" t="str"/>
      <c r="C23" s="256" t="str"/>
      <c r="D23" s="256" t="str"/>
      <c r="E23" s="256" t="str"/>
      <c r="F23" s="256" t="str"/>
      <c r="G23" s="305" t="str"/>
      <c r="H23" s="305" t="str"/>
      <c r="I23" s="256" t="str"/>
      <c r="J23" s="256" t="str"/>
      <c r="K23" s="256" t="str"/>
      <c r="L23" s="256" t="str"/>
      <c r="M23" s="256" t="str"/>
      <c r="N23" s="256" t="str"/>
      <c r="O23" s="256" t="str"/>
      <c r="P23" s="256" t="str"/>
      <c r="Q23" s="306" t="str"/>
    </row>
    <row r="24" ht="20" customHeight="1" s="48">
      <c r="A24" s="304" t="str"/>
      <c r="B24" s="256" t="str"/>
      <c r="C24" s="256" t="str"/>
      <c r="D24" s="256" t="str"/>
      <c r="E24" s="256" t="str"/>
      <c r="F24" s="256" t="str"/>
      <c r="G24" s="305" t="str"/>
      <c r="H24" s="305" t="str"/>
      <c r="I24" s="256" t="str"/>
      <c r="J24" s="256" t="str"/>
      <c r="K24" s="256" t="str"/>
      <c r="L24" s="256" t="str"/>
      <c r="M24" s="256" t="str"/>
      <c r="N24" s="256" t="str"/>
      <c r="O24" s="256" t="str"/>
      <c r="P24" s="256" t="str"/>
      <c r="Q24" s="306" t="str"/>
    </row>
    <row r="25" ht="20" customHeight="1" s="48">
      <c r="A25" s="304" t="str"/>
      <c r="B25" s="256" t="str"/>
      <c r="C25" s="256" t="str"/>
      <c r="D25" s="256" t="str"/>
      <c r="E25" s="256" t="str"/>
      <c r="F25" s="256" t="str"/>
      <c r="G25" s="305" t="str"/>
      <c r="H25" s="305" t="str"/>
      <c r="I25" s="256" t="str"/>
      <c r="J25" s="256" t="str"/>
      <c r="K25" s="256" t="str"/>
      <c r="L25" s="256" t="str"/>
      <c r="M25" s="256" t="str"/>
      <c r="N25" s="256" t="str"/>
      <c r="O25" s="256" t="str"/>
      <c r="P25" s="256" t="str"/>
      <c r="Q25" s="306" t="str"/>
    </row>
    <row r="26" ht="20" customHeight="1" s="48">
      <c r="A26" s="304" t="str"/>
      <c r="B26" s="256" t="str"/>
      <c r="C26" s="256" t="str"/>
      <c r="D26" s="256" t="str"/>
      <c r="E26" s="256" t="str"/>
      <c r="F26" s="256" t="str"/>
      <c r="G26" s="305" t="str"/>
      <c r="H26" s="305" t="str"/>
      <c r="I26" s="256" t="str"/>
      <c r="J26" s="256" t="str"/>
      <c r="K26" s="256" t="str"/>
      <c r="L26" s="256" t="str"/>
      <c r="M26" s="256" t="str"/>
      <c r="N26" s="256" t="str"/>
      <c r="O26" s="256" t="str"/>
      <c r="P26" s="256" t="str"/>
      <c r="Q26" s="306" t="str"/>
    </row>
    <row r="27" ht="20" customHeight="1" s="48">
      <c r="A27" s="304" t="str"/>
      <c r="B27" s="256" t="str"/>
      <c r="C27" s="256" t="str"/>
      <c r="D27" s="256" t="str"/>
      <c r="E27" s="256" t="str"/>
      <c r="F27" s="256" t="str"/>
      <c r="G27" s="305" t="str"/>
      <c r="H27" s="305" t="str"/>
      <c r="I27" s="256" t="str"/>
      <c r="J27" s="256" t="str"/>
      <c r="K27" s="256" t="str"/>
      <c r="L27" s="256" t="str"/>
      <c r="M27" s="256" t="str"/>
      <c r="N27" s="256" t="str"/>
      <c r="O27" s="256" t="str"/>
      <c r="P27" s="256" t="str"/>
      <c r="Q27" s="306" t="str"/>
    </row>
    <row r="28" ht="20" customHeight="1" s="48">
      <c r="A28" s="304" t="str"/>
      <c r="B28" s="256" t="str"/>
      <c r="C28" s="256" t="str"/>
      <c r="D28" s="256" t="str"/>
      <c r="E28" s="256" t="str"/>
      <c r="F28" s="256" t="str"/>
      <c r="G28" s="305" t="str"/>
      <c r="H28" s="305" t="str"/>
      <c r="I28" s="256" t="str"/>
      <c r="J28" s="256" t="str"/>
      <c r="K28" s="256" t="str"/>
      <c r="L28" s="256" t="str"/>
      <c r="M28" s="256" t="str"/>
      <c r="N28" s="256" t="str"/>
      <c r="O28" s="256" t="str"/>
      <c r="P28" s="256" t="str"/>
      <c r="Q28" s="306" t="str"/>
    </row>
    <row r="29" ht="20" customHeight="1" s="48">
      <c r="A29" s="304" t="str"/>
      <c r="B29" s="256" t="str"/>
      <c r="C29" s="256" t="str"/>
      <c r="D29" s="256" t="str"/>
      <c r="E29" s="256" t="str"/>
      <c r="F29" s="256" t="str"/>
      <c r="G29" s="305" t="str"/>
      <c r="H29" s="305" t="str"/>
      <c r="I29" s="256" t="str"/>
      <c r="J29" s="256" t="str"/>
      <c r="K29" s="256" t="str"/>
      <c r="L29" s="256" t="str"/>
      <c r="M29" s="256" t="str"/>
      <c r="N29" s="256" t="str"/>
      <c r="O29" s="256" t="str"/>
      <c r="P29" s="256" t="str"/>
      <c r="Q29" s="306" t="str"/>
    </row>
    <row r="30" ht="20" customHeight="1" s="48">
      <c r="A30" s="304" t="str"/>
      <c r="B30" s="256" t="str"/>
      <c r="C30" s="256" t="str"/>
      <c r="D30" s="256" t="str"/>
      <c r="E30" s="256" t="str"/>
      <c r="F30" s="256" t="str"/>
      <c r="G30" s="305" t="str"/>
      <c r="H30" s="305" t="str"/>
      <c r="I30" s="256" t="str"/>
      <c r="J30" s="256" t="str"/>
      <c r="K30" s="256" t="str"/>
      <c r="L30" s="256" t="str"/>
      <c r="M30" s="256" t="str"/>
      <c r="N30" s="256" t="str"/>
      <c r="O30" s="256" t="str"/>
      <c r="P30" s="256" t="str"/>
      <c r="Q30" s="306" t="str"/>
    </row>
    <row r="31" ht="20" customHeight="1" s="48">
      <c r="A31" s="304" t="str"/>
      <c r="B31" s="256" t="str"/>
      <c r="C31" s="256" t="str"/>
      <c r="D31" s="256" t="str"/>
      <c r="E31" s="256" t="str"/>
      <c r="F31" s="256" t="str"/>
      <c r="G31" s="305" t="str"/>
      <c r="H31" s="305" t="str"/>
      <c r="I31" s="256" t="str"/>
      <c r="J31" s="256" t="str"/>
      <c r="K31" s="256" t="str"/>
      <c r="L31" s="256" t="str"/>
      <c r="M31" s="256" t="str"/>
      <c r="N31" s="256" t="str"/>
      <c r="O31" s="256" t="str"/>
      <c r="P31" s="256" t="str"/>
      <c r="Q31" s="306" t="str"/>
    </row>
    <row r="32" ht="20" customHeight="1" s="48">
      <c r="A32" s="304" t="str"/>
      <c r="B32" s="256" t="str"/>
      <c r="C32" s="256" t="str"/>
      <c r="D32" s="256" t="str"/>
      <c r="E32" s="256" t="str"/>
      <c r="F32" s="256" t="str"/>
      <c r="G32" s="305" t="str"/>
      <c r="H32" s="305" t="str"/>
      <c r="I32" s="256" t="str"/>
      <c r="J32" s="256" t="str"/>
      <c r="K32" s="256" t="str"/>
      <c r="L32" s="256" t="str"/>
      <c r="M32" s="256" t="str"/>
      <c r="N32" s="256" t="str"/>
      <c r="O32" s="256" t="str"/>
      <c r="P32" s="256" t="str"/>
      <c r="Q32" s="306" t="str"/>
    </row>
    <row r="33" ht="20" customHeight="1" s="48">
      <c r="A33" s="304" t="str"/>
      <c r="B33" s="256" t="str"/>
      <c r="C33" s="256" t="str"/>
      <c r="D33" s="256" t="str"/>
      <c r="E33" s="256" t="str"/>
      <c r="F33" s="256" t="str"/>
      <c r="G33" s="305" t="str"/>
      <c r="H33" s="305" t="str"/>
      <c r="I33" s="256" t="str"/>
      <c r="J33" s="256" t="str"/>
      <c r="K33" s="256" t="str"/>
      <c r="L33" s="256" t="str"/>
      <c r="M33" s="256" t="str"/>
      <c r="N33" s="256" t="str"/>
      <c r="O33" s="256" t="str"/>
      <c r="P33" s="256" t="str"/>
      <c r="Q33" s="306" t="str"/>
    </row>
    <row r="34" ht="20" customHeight="1" s="48">
      <c r="A34" s="304" t="str"/>
      <c r="B34" s="256" t="str"/>
      <c r="C34" s="256" t="str"/>
      <c r="D34" s="256" t="str"/>
      <c r="E34" s="256" t="str"/>
      <c r="F34" s="256" t="str"/>
      <c r="G34" s="305" t="str"/>
      <c r="H34" s="305" t="str"/>
      <c r="I34" s="256" t="str"/>
      <c r="J34" s="256" t="str"/>
      <c r="K34" s="256" t="str"/>
      <c r="L34" s="256" t="str"/>
      <c r="M34" s="256" t="str"/>
      <c r="N34" s="256" t="str"/>
      <c r="O34" s="256" t="str"/>
      <c r="P34" s="256" t="str"/>
      <c r="Q34" s="306" t="str"/>
    </row>
    <row r="35" ht="20" customHeight="1" s="48">
      <c r="A35" s="304" t="str"/>
      <c r="B35" s="256" t="str"/>
      <c r="C35" s="256" t="str"/>
      <c r="D35" s="256" t="str"/>
      <c r="E35" s="256" t="str"/>
      <c r="F35" s="256" t="str"/>
      <c r="G35" s="305" t="str"/>
      <c r="H35" s="305" t="str"/>
      <c r="I35" s="256" t="str"/>
      <c r="J35" s="256" t="str"/>
      <c r="K35" s="256" t="str"/>
      <c r="L35" s="256" t="str"/>
      <c r="M35" s="256" t="str"/>
      <c r="N35" s="256" t="str"/>
      <c r="O35" s="256" t="str"/>
      <c r="P35" s="256" t="str"/>
      <c r="Q35" s="306" t="str"/>
    </row>
    <row r="36" ht="20" customHeight="1" s="48">
      <c r="A36" s="304" t="str"/>
      <c r="B36" s="256" t="str"/>
      <c r="C36" s="256" t="str"/>
      <c r="D36" s="256" t="str"/>
      <c r="E36" s="256" t="str"/>
      <c r="F36" s="256" t="str"/>
      <c r="G36" s="305" t="str"/>
      <c r="H36" s="305" t="str"/>
      <c r="I36" s="256" t="str"/>
      <c r="J36" s="256" t="str"/>
      <c r="K36" s="256" t="str"/>
      <c r="L36" s="256" t="str"/>
      <c r="M36" s="256" t="str"/>
      <c r="N36" s="256" t="str"/>
      <c r="O36" s="256" t="str"/>
      <c r="P36" s="256" t="str"/>
      <c r="Q36" s="306" t="str"/>
    </row>
    <row r="37" ht="20" customHeight="1" s="48">
      <c r="A37" s="304" t="str"/>
      <c r="B37" s="256" t="str"/>
      <c r="C37" s="256" t="str"/>
      <c r="D37" s="256" t="str"/>
      <c r="E37" s="256" t="str"/>
      <c r="F37" s="256" t="str"/>
      <c r="G37" s="305" t="str"/>
      <c r="H37" s="305" t="str"/>
      <c r="I37" s="256" t="str"/>
      <c r="J37" s="256" t="str"/>
      <c r="K37" s="256" t="str"/>
      <c r="L37" s="256" t="str"/>
      <c r="M37" s="256" t="str"/>
      <c r="N37" s="256" t="str"/>
      <c r="O37" s="256" t="str"/>
      <c r="P37" s="256" t="str"/>
      <c r="Q37" s="306" t="str"/>
    </row>
    <row r="38" ht="20" customHeight="1" s="48">
      <c r="A38" s="304" t="str"/>
      <c r="B38" s="256" t="str"/>
      <c r="C38" s="256" t="str"/>
      <c r="D38" s="256" t="str"/>
      <c r="E38" s="256" t="str"/>
      <c r="F38" s="256" t="str"/>
      <c r="G38" s="305" t="str"/>
      <c r="H38" s="305" t="str"/>
      <c r="I38" s="256" t="str"/>
      <c r="J38" s="256" t="str"/>
      <c r="K38" s="256" t="str"/>
      <c r="L38" s="256" t="str"/>
      <c r="M38" s="256" t="str"/>
      <c r="N38" s="256" t="str"/>
      <c r="O38" s="256" t="str"/>
      <c r="P38" s="256" t="str"/>
      <c r="Q38" s="306" t="str"/>
    </row>
    <row r="39" ht="20" customHeight="1" s="48">
      <c r="A39" s="304" t="str"/>
      <c r="B39" s="256" t="str"/>
      <c r="C39" s="256" t="str"/>
      <c r="D39" s="256" t="str"/>
      <c r="E39" s="256" t="str"/>
      <c r="F39" s="256" t="str"/>
      <c r="G39" s="305" t="str"/>
      <c r="H39" s="305" t="str"/>
      <c r="I39" s="256" t="str"/>
      <c r="J39" s="256" t="str"/>
      <c r="K39" s="256" t="str"/>
      <c r="L39" s="256" t="str"/>
      <c r="M39" s="256" t="str"/>
      <c r="N39" s="256" t="str"/>
      <c r="O39" s="256" t="str"/>
      <c r="P39" s="256" t="str"/>
      <c r="Q39" s="306" t="str"/>
    </row>
    <row r="40" ht="20" customHeight="1" s="48">
      <c r="A40" s="304" t="str"/>
      <c r="B40" s="256" t="str"/>
      <c r="C40" s="256" t="str"/>
      <c r="D40" s="256" t="str"/>
      <c r="E40" s="256" t="str"/>
      <c r="F40" s="256" t="str"/>
      <c r="G40" s="305" t="str"/>
      <c r="H40" s="305" t="str"/>
      <c r="I40" s="256" t="str"/>
      <c r="J40" s="256" t="str"/>
      <c r="K40" s="256" t="str"/>
      <c r="L40" s="256" t="str"/>
      <c r="M40" s="256" t="str"/>
      <c r="N40" s="256" t="str"/>
      <c r="O40" s="256" t="str"/>
      <c r="P40" s="256" t="str"/>
      <c r="Q40" s="306" t="str"/>
    </row>
    <row r="41" ht="20" customHeight="1" s="48">
      <c r="A41" s="304" t="str"/>
      <c r="B41" s="256" t="str"/>
      <c r="C41" s="256" t="str"/>
      <c r="D41" s="256" t="str"/>
      <c r="E41" s="256" t="str"/>
      <c r="F41" s="256" t="str"/>
      <c r="G41" s="305" t="str"/>
      <c r="H41" s="305" t="str"/>
      <c r="I41" s="256" t="str"/>
      <c r="J41" s="256" t="str"/>
      <c r="K41" s="256" t="str"/>
      <c r="L41" s="256" t="str"/>
      <c r="M41" s="256" t="str"/>
      <c r="N41" s="256" t="str"/>
      <c r="O41" s="256" t="str"/>
      <c r="P41" s="256" t="str"/>
      <c r="Q41" s="306" t="str"/>
    </row>
    <row r="42" ht="20" customHeight="1" s="48">
      <c r="A42" s="304" t="str"/>
      <c r="B42" s="256" t="str"/>
      <c r="C42" s="256" t="str"/>
      <c r="D42" s="256" t="str"/>
      <c r="E42" s="256" t="str"/>
      <c r="F42" s="256" t="str"/>
      <c r="G42" s="305" t="str"/>
      <c r="H42" s="305" t="str"/>
      <c r="I42" s="256" t="str"/>
      <c r="J42" s="256" t="str"/>
      <c r="K42" s="256" t="str"/>
      <c r="L42" s="256" t="str"/>
      <c r="M42" s="256" t="str"/>
      <c r="N42" s="256" t="str"/>
      <c r="O42" s="256" t="str"/>
      <c r="P42" s="256" t="str"/>
      <c r="Q42" s="306" t="str"/>
    </row>
    <row r="43" ht="20" customHeight="1" s="48">
      <c r="A43" s="304" t="str"/>
      <c r="B43" s="256" t="str"/>
      <c r="C43" s="256" t="str"/>
      <c r="D43" s="256" t="str"/>
      <c r="E43" s="256" t="str"/>
      <c r="F43" s="256" t="str"/>
      <c r="G43" s="305" t="str"/>
      <c r="H43" s="305" t="str"/>
      <c r="I43" s="256" t="str"/>
      <c r="J43" s="256" t="str"/>
      <c r="K43" s="256" t="str"/>
      <c r="L43" s="256" t="str"/>
      <c r="M43" s="256" t="str"/>
      <c r="N43" s="256" t="str"/>
      <c r="O43" s="256" t="str"/>
      <c r="P43" s="256" t="str"/>
      <c r="Q43" s="306" t="str"/>
    </row>
    <row r="44" ht="20" customHeight="1" s="48">
      <c r="A44" s="304" t="str"/>
      <c r="B44" s="256" t="str"/>
      <c r="C44" s="256" t="str"/>
      <c r="D44" s="256" t="str"/>
      <c r="E44" s="256" t="str"/>
      <c r="F44" s="256" t="str"/>
      <c r="G44" s="305" t="str"/>
      <c r="H44" s="305" t="str"/>
      <c r="I44" s="256" t="str"/>
      <c r="J44" s="256" t="str"/>
      <c r="K44" s="256" t="str"/>
      <c r="L44" s="256" t="str"/>
      <c r="M44" s="256" t="str"/>
      <c r="N44" s="256" t="str"/>
      <c r="O44" s="256" t="str"/>
      <c r="P44" s="256" t="str"/>
      <c r="Q44" s="306" t="str"/>
    </row>
    <row r="45" ht="20" customHeight="1" s="48">
      <c r="A45" s="304" t="str"/>
      <c r="B45" s="256" t="str"/>
      <c r="C45" s="256" t="str"/>
      <c r="D45" s="256" t="str"/>
      <c r="E45" s="256" t="str"/>
      <c r="F45" s="256" t="str"/>
      <c r="G45" s="305" t="str"/>
      <c r="H45" s="305" t="str"/>
      <c r="I45" s="256" t="str"/>
      <c r="J45" s="256" t="str"/>
      <c r="K45" s="256" t="str"/>
      <c r="L45" s="256" t="str"/>
      <c r="M45" s="256" t="str"/>
      <c r="N45" s="256" t="str"/>
      <c r="O45" s="256" t="str"/>
      <c r="P45" s="256" t="str"/>
      <c r="Q45" s="306" t="str"/>
    </row>
    <row r="46" ht="20" customHeight="1" s="48">
      <c r="A46" s="304" t="str"/>
      <c r="B46" s="256" t="str"/>
      <c r="C46" s="256" t="str"/>
      <c r="D46" s="256" t="str"/>
      <c r="E46" s="256" t="str"/>
      <c r="F46" s="256" t="str"/>
      <c r="G46" s="305" t="str"/>
      <c r="H46" s="305" t="str"/>
      <c r="I46" s="256" t="str"/>
      <c r="J46" s="256" t="str"/>
      <c r="K46" s="256" t="str"/>
      <c r="L46" s="256" t="str"/>
      <c r="M46" s="256" t="str"/>
      <c r="N46" s="256" t="str"/>
      <c r="O46" s="256" t="str"/>
      <c r="P46" s="256" t="str"/>
      <c r="Q46" s="306" t="str"/>
    </row>
    <row r="47" ht="20" customHeight="1" s="48">
      <c r="A47" s="304" t="str"/>
      <c r="B47" s="256" t="str"/>
      <c r="C47" s="256" t="str"/>
      <c r="D47" s="256" t="str"/>
      <c r="E47" s="256" t="str"/>
      <c r="F47" s="256" t="str"/>
      <c r="G47" s="305" t="str"/>
      <c r="H47" s="305" t="str"/>
      <c r="I47" s="256" t="str"/>
      <c r="J47" s="256" t="str"/>
      <c r="K47" s="256" t="str"/>
      <c r="L47" s="256" t="str"/>
      <c r="M47" s="256" t="str"/>
      <c r="N47" s="256" t="str"/>
      <c r="O47" s="256" t="str"/>
      <c r="P47" s="256" t="str"/>
      <c r="Q47" s="306" t="str"/>
    </row>
    <row r="48" ht="20" customHeight="1" s="48">
      <c r="A48" s="304" t="str"/>
      <c r="B48" s="256" t="str"/>
      <c r="C48" s="256" t="str"/>
      <c r="D48" s="256" t="str"/>
      <c r="E48" s="256" t="str"/>
      <c r="F48" s="256" t="str"/>
      <c r="G48" s="305" t="str"/>
      <c r="H48" s="305" t="str"/>
      <c r="I48" s="256" t="str"/>
      <c r="J48" s="256" t="str"/>
      <c r="K48" s="256" t="str"/>
      <c r="L48" s="256" t="str"/>
      <c r="M48" s="256" t="str"/>
      <c r="N48" s="256" t="str"/>
      <c r="O48" s="256" t="str"/>
      <c r="P48" s="256" t="str"/>
      <c r="Q48" s="306" t="str"/>
    </row>
    <row r="49" ht="20" customHeight="1" s="48">
      <c r="A49" s="304" t="str"/>
      <c r="B49" s="256" t="str"/>
      <c r="C49" s="256" t="str"/>
      <c r="D49" s="256" t="str"/>
      <c r="E49" s="256" t="str"/>
      <c r="F49" s="256" t="str"/>
      <c r="G49" s="305" t="str"/>
      <c r="H49" s="305" t="str"/>
      <c r="I49" s="256" t="str"/>
      <c r="J49" s="256" t="str"/>
      <c r="K49" s="256" t="str"/>
      <c r="L49" s="256" t="str"/>
      <c r="M49" s="256" t="str"/>
      <c r="N49" s="256" t="str"/>
      <c r="O49" s="256" t="str"/>
      <c r="P49" s="256" t="str"/>
      <c r="Q49" s="306" t="str"/>
    </row>
    <row r="50" ht="20" customHeight="1" s="48">
      <c r="A50" s="304" t="str"/>
      <c r="B50" s="256" t="str"/>
      <c r="C50" s="256" t="str"/>
      <c r="D50" s="256" t="str"/>
      <c r="E50" s="256" t="str"/>
      <c r="F50" s="256" t="str"/>
      <c r="G50" s="305" t="str"/>
      <c r="H50" s="305" t="str"/>
      <c r="I50" s="256" t="str"/>
      <c r="J50" s="256" t="str"/>
      <c r="K50" s="256" t="str"/>
      <c r="L50" s="256" t="str"/>
      <c r="M50" s="256" t="str"/>
      <c r="N50" s="256" t="str"/>
      <c r="O50" s="256" t="str"/>
      <c r="P50" s="256" t="str"/>
      <c r="Q50" s="306" t="str"/>
    </row>
    <row r="51" ht="20" customHeight="1" s="48">
      <c r="A51" s="304" t="str"/>
      <c r="B51" s="256" t="str"/>
      <c r="C51" s="256" t="str"/>
      <c r="D51" s="256" t="str"/>
      <c r="E51" s="256" t="str"/>
      <c r="F51" s="256" t="str"/>
      <c r="G51" s="305" t="str"/>
      <c r="H51" s="305" t="str"/>
      <c r="I51" s="256" t="str"/>
      <c r="J51" s="256" t="str"/>
      <c r="K51" s="256" t="str"/>
      <c r="L51" s="256" t="str"/>
      <c r="M51" s="256" t="str"/>
      <c r="N51" s="256" t="str"/>
      <c r="O51" s="256" t="str"/>
      <c r="P51" s="256" t="str"/>
      <c r="Q51" s="306" t="str"/>
    </row>
    <row r="52" ht="20" customHeight="1" s="48">
      <c r="A52" s="304" t="str"/>
      <c r="B52" s="256" t="str"/>
      <c r="C52" s="256" t="str"/>
      <c r="D52" s="256" t="str"/>
      <c r="E52" s="256" t="str"/>
      <c r="F52" s="256" t="str"/>
      <c r="G52" s="305" t="str"/>
      <c r="H52" s="305" t="str"/>
      <c r="I52" s="256" t="str"/>
      <c r="J52" s="256" t="str"/>
      <c r="K52" s="256" t="str"/>
      <c r="L52" s="256" t="str"/>
      <c r="M52" s="256" t="str"/>
      <c r="N52" s="256" t="str"/>
      <c r="O52" s="256" t="str"/>
      <c r="P52" s="256" t="str"/>
      <c r="Q52" s="306" t="str"/>
    </row>
    <row r="53" ht="20" customHeight="1" s="48">
      <c r="A53" s="304" t="str"/>
      <c r="B53" s="256" t="str"/>
      <c r="C53" s="256" t="str"/>
      <c r="D53" s="256" t="str"/>
      <c r="E53" s="256" t="str"/>
      <c r="F53" s="256" t="str"/>
      <c r="G53" s="305" t="str"/>
      <c r="H53" s="305" t="str"/>
      <c r="I53" s="256" t="str"/>
      <c r="J53" s="256" t="str"/>
      <c r="K53" s="256" t="str"/>
      <c r="L53" s="256" t="str"/>
      <c r="M53" s="256" t="str"/>
      <c r="N53" s="256" t="str"/>
      <c r="O53" s="256" t="str"/>
      <c r="P53" s="256" t="str"/>
      <c r="Q53" s="306" t="str"/>
    </row>
    <row r="54" ht="20" customHeight="1" s="48">
      <c r="A54" s="304" t="str"/>
      <c r="B54" s="256" t="str"/>
      <c r="C54" s="256" t="str"/>
      <c r="D54" s="256" t="str"/>
      <c r="E54" s="256" t="str"/>
      <c r="F54" s="256" t="str"/>
      <c r="G54" s="305" t="str"/>
      <c r="H54" s="305" t="str"/>
      <c r="I54" s="256" t="str"/>
      <c r="J54" s="256" t="str"/>
      <c r="K54" s="256" t="str"/>
      <c r="L54" s="256" t="str"/>
      <c r="M54" s="256" t="str"/>
      <c r="N54" s="256" t="str"/>
      <c r="O54" s="256" t="str"/>
      <c r="P54" s="256" t="str"/>
      <c r="Q54" s="306" t="str"/>
    </row>
    <row r="55" ht="20" customHeight="1" s="48">
      <c r="A55" s="304" t="str"/>
      <c r="B55" s="256" t="str"/>
      <c r="C55" s="256" t="str"/>
      <c r="D55" s="256" t="str"/>
      <c r="E55" s="256" t="str"/>
      <c r="F55" s="256" t="str"/>
      <c r="G55" s="305" t="str"/>
      <c r="H55" s="305" t="str"/>
      <c r="I55" s="256" t="str"/>
      <c r="J55" s="256" t="str"/>
      <c r="K55" s="256" t="str"/>
      <c r="L55" s="256" t="str"/>
      <c r="M55" s="256" t="str"/>
      <c r="N55" s="256" t="str"/>
      <c r="O55" s="256" t="str"/>
      <c r="P55" s="256" t="str"/>
      <c r="Q55" s="306" t="str"/>
    </row>
    <row r="56" ht="20" customHeight="1" s="48">
      <c r="A56" s="304" t="str"/>
      <c r="B56" s="256" t="str"/>
      <c r="C56" s="256" t="str"/>
      <c r="D56" s="256" t="str"/>
      <c r="E56" s="256" t="str"/>
      <c r="F56" s="256" t="str"/>
      <c r="G56" s="305" t="str"/>
      <c r="H56" s="305" t="str"/>
      <c r="I56" s="256" t="str"/>
      <c r="J56" s="256" t="str"/>
      <c r="K56" s="256" t="str"/>
      <c r="L56" s="256" t="str"/>
      <c r="M56" s="256" t="str"/>
      <c r="N56" s="256" t="str"/>
      <c r="O56" s="256" t="str"/>
      <c r="P56" s="256" t="str"/>
      <c r="Q56" s="306" t="str"/>
    </row>
    <row r="57" ht="20" customHeight="1" s="48">
      <c r="A57" s="304" t="str"/>
      <c r="B57" s="256" t="str"/>
      <c r="C57" s="256" t="str"/>
      <c r="D57" s="256" t="str"/>
      <c r="E57" s="256" t="str"/>
      <c r="F57" s="256" t="str"/>
      <c r="G57" s="305" t="str"/>
      <c r="H57" s="305" t="str"/>
      <c r="I57" s="256" t="str"/>
      <c r="J57" s="256" t="str"/>
      <c r="K57" s="256" t="str"/>
      <c r="L57" s="256" t="str"/>
      <c r="M57" s="256" t="str"/>
      <c r="N57" s="256" t="str"/>
      <c r="O57" s="256" t="str"/>
      <c r="P57" s="256" t="str"/>
      <c r="Q57" s="306" t="str"/>
    </row>
    <row r="58" ht="20" customHeight="1" s="48">
      <c r="A58" s="304" t="str"/>
      <c r="B58" s="256" t="str"/>
      <c r="C58" s="256" t="str"/>
      <c r="D58" s="256" t="str"/>
      <c r="E58" s="256" t="str"/>
      <c r="F58" s="256" t="str"/>
      <c r="G58" s="305" t="str"/>
      <c r="H58" s="305" t="str"/>
      <c r="I58" s="256" t="str"/>
      <c r="J58" s="256" t="str"/>
      <c r="K58" s="256" t="str"/>
      <c r="L58" s="256" t="str"/>
      <c r="M58" s="256" t="str"/>
      <c r="N58" s="256" t="str"/>
      <c r="O58" s="256" t="str"/>
      <c r="P58" s="256" t="str"/>
      <c r="Q58" s="306" t="str"/>
    </row>
    <row r="59" ht="20" customHeight="1" s="48">
      <c r="A59" s="304" t="str"/>
      <c r="B59" s="256" t="str"/>
      <c r="C59" s="256" t="str"/>
      <c r="D59" s="256" t="str"/>
      <c r="E59" s="256" t="str"/>
      <c r="F59" s="256" t="str"/>
      <c r="G59" s="305" t="str"/>
      <c r="H59" s="305" t="str"/>
      <c r="I59" s="256" t="str"/>
      <c r="J59" s="256" t="str"/>
      <c r="K59" s="256" t="str"/>
      <c r="L59" s="256" t="str"/>
      <c r="M59" s="256" t="str"/>
      <c r="N59" s="256" t="str"/>
      <c r="O59" s="256" t="str"/>
      <c r="P59" s="256" t="str"/>
      <c r="Q59" s="306" t="str"/>
    </row>
    <row r="60" ht="20" customHeight="1" s="48">
      <c r="A60" s="304" t="str"/>
      <c r="B60" s="256" t="str"/>
      <c r="C60" s="256" t="str"/>
      <c r="D60" s="256" t="str"/>
      <c r="E60" s="256" t="str"/>
      <c r="F60" s="256" t="str"/>
      <c r="G60" s="305" t="str"/>
      <c r="H60" s="305" t="str"/>
      <c r="I60" s="256" t="str"/>
      <c r="J60" s="256" t="str"/>
      <c r="K60" s="256" t="str"/>
      <c r="L60" s="256" t="str"/>
      <c r="M60" s="256" t="str"/>
      <c r="N60" s="256" t="str"/>
      <c r="O60" s="256" t="str"/>
      <c r="P60" s="256" t="str"/>
      <c r="Q60" s="306" t="str"/>
    </row>
    <row r="61" ht="20" customHeight="1" s="48">
      <c r="A61" s="304" t="str"/>
      <c r="B61" s="256" t="str"/>
      <c r="C61" s="256" t="str"/>
      <c r="D61" s="256" t="str"/>
      <c r="E61" s="256" t="str"/>
      <c r="F61" s="256" t="str"/>
      <c r="G61" s="305" t="str"/>
      <c r="H61" s="305" t="str"/>
      <c r="I61" s="256" t="str"/>
      <c r="J61" s="256" t="str"/>
      <c r="K61" s="256" t="str"/>
      <c r="L61" s="256" t="str"/>
      <c r="M61" s="256" t="str"/>
      <c r="N61" s="256" t="str"/>
      <c r="O61" s="256" t="str"/>
      <c r="P61" s="256" t="str"/>
      <c r="Q61" s="306" t="str"/>
    </row>
    <row r="62" ht="20" customHeight="1" s="48">
      <c r="A62" s="304" t="str"/>
      <c r="B62" s="256" t="str"/>
      <c r="C62" s="256" t="str"/>
      <c r="D62" s="256" t="str"/>
      <c r="E62" s="256" t="str"/>
      <c r="F62" s="256" t="str"/>
      <c r="G62" s="305" t="str"/>
      <c r="H62" s="305" t="str"/>
      <c r="I62" s="256" t="str"/>
      <c r="J62" s="256" t="str"/>
      <c r="K62" s="256" t="str"/>
      <c r="L62" s="256" t="str"/>
      <c r="M62" s="256" t="str"/>
      <c r="N62" s="256" t="str"/>
      <c r="O62" s="256" t="str"/>
      <c r="P62" s="256" t="str"/>
      <c r="Q62" s="306" t="str"/>
    </row>
    <row r="63" ht="20" customHeight="1" s="48">
      <c r="A63" s="304" t="str"/>
      <c r="B63" s="256" t="str"/>
      <c r="C63" s="256" t="str"/>
      <c r="D63" s="256" t="str"/>
      <c r="E63" s="256" t="str"/>
      <c r="F63" s="256" t="str"/>
      <c r="G63" s="305" t="str"/>
      <c r="H63" s="305" t="str"/>
      <c r="I63" s="256" t="str"/>
      <c r="J63" s="256" t="str"/>
      <c r="K63" s="256" t="str"/>
      <c r="L63" s="256" t="str"/>
      <c r="M63" s="256" t="str"/>
      <c r="N63" s="256" t="str"/>
      <c r="O63" s="256" t="str"/>
      <c r="P63" s="256" t="str"/>
      <c r="Q63" s="306" t="str"/>
    </row>
    <row r="64" ht="20" customHeight="1" s="48">
      <c r="A64" s="304" t="str"/>
      <c r="B64" s="256" t="str"/>
      <c r="C64" s="256" t="str"/>
      <c r="D64" s="256" t="str"/>
      <c r="E64" s="256" t="str"/>
      <c r="F64" s="256" t="str"/>
      <c r="G64" s="305" t="str"/>
      <c r="H64" s="305" t="str"/>
      <c r="I64" s="256" t="str"/>
      <c r="J64" s="256" t="str"/>
      <c r="K64" s="256" t="str"/>
      <c r="L64" s="256" t="str"/>
      <c r="M64" s="256" t="str"/>
      <c r="N64" s="256" t="str"/>
      <c r="O64" s="256" t="str"/>
      <c r="P64" s="256" t="str"/>
      <c r="Q64" s="306" t="str"/>
    </row>
    <row r="65" ht="20" customHeight="1" s="48">
      <c r="A65" s="304" t="str"/>
      <c r="B65" s="256" t="str"/>
      <c r="C65" s="256" t="str"/>
      <c r="D65" s="256" t="str"/>
      <c r="E65" s="256" t="str"/>
      <c r="F65" s="256" t="str"/>
      <c r="G65" s="305" t="str"/>
      <c r="H65" s="305" t="str"/>
      <c r="I65" s="256" t="str"/>
      <c r="J65" s="256" t="str"/>
      <c r="K65" s="256" t="str"/>
      <c r="L65" s="256" t="str"/>
      <c r="M65" s="256" t="str"/>
      <c r="N65" s="256" t="str"/>
      <c r="O65" s="256" t="str"/>
      <c r="P65" s="256" t="str"/>
      <c r="Q65" s="306" t="str"/>
    </row>
    <row r="66" ht="20" customHeight="1" s="48">
      <c r="A66" s="304" t="str"/>
      <c r="B66" s="256" t="str"/>
      <c r="C66" s="256" t="str"/>
      <c r="D66" s="256" t="str"/>
      <c r="E66" s="256" t="str"/>
      <c r="F66" s="256" t="str"/>
      <c r="G66" s="305" t="str"/>
      <c r="H66" s="305" t="str"/>
      <c r="I66" s="256" t="str"/>
      <c r="J66" s="256" t="str"/>
      <c r="K66" s="256" t="str"/>
      <c r="L66" s="256" t="str"/>
      <c r="M66" s="256" t="str"/>
      <c r="N66" s="256" t="str"/>
      <c r="O66" s="256" t="str"/>
      <c r="P66" s="256" t="str"/>
      <c r="Q66" s="306" t="str"/>
    </row>
    <row r="67" ht="20" customHeight="1" s="48">
      <c r="A67" s="304" t="str"/>
      <c r="B67" s="256" t="str"/>
      <c r="C67" s="256" t="str"/>
      <c r="D67" s="256" t="str"/>
      <c r="E67" s="256" t="str"/>
      <c r="F67" s="256" t="str"/>
      <c r="G67" s="305" t="str"/>
      <c r="H67" s="305" t="str"/>
      <c r="I67" s="256" t="str"/>
      <c r="J67" s="256" t="str"/>
      <c r="K67" s="256" t="str"/>
      <c r="L67" s="256" t="str"/>
      <c r="M67" s="256" t="str"/>
      <c r="N67" s="256" t="str"/>
      <c r="O67" s="256" t="str"/>
      <c r="P67" s="256" t="str"/>
      <c r="Q67" s="306" t="str"/>
    </row>
    <row r="68" ht="20" customHeight="1" s="48">
      <c r="A68" s="304" t="str"/>
      <c r="B68" s="256" t="str"/>
      <c r="C68" s="256" t="str"/>
      <c r="D68" s="256" t="str"/>
      <c r="E68" s="256" t="str"/>
      <c r="F68" s="256" t="str"/>
      <c r="G68" s="305" t="str"/>
      <c r="H68" s="305" t="str"/>
      <c r="I68" s="256" t="str"/>
      <c r="J68" s="256" t="str"/>
      <c r="K68" s="256" t="str"/>
      <c r="L68" s="256" t="str"/>
      <c r="M68" s="256" t="str"/>
      <c r="N68" s="256" t="str"/>
      <c r="O68" s="256" t="str"/>
      <c r="P68" s="256" t="str"/>
      <c r="Q68" s="306" t="str"/>
    </row>
    <row r="69" ht="20" customHeight="1" s="48">
      <c r="A69" s="304" t="str"/>
      <c r="B69" s="256" t="str"/>
      <c r="C69" s="256" t="str"/>
      <c r="D69" s="256" t="str"/>
      <c r="E69" s="256" t="str"/>
      <c r="F69" s="256" t="str"/>
      <c r="G69" s="305" t="str"/>
      <c r="H69" s="305" t="str"/>
      <c r="I69" s="256" t="str"/>
      <c r="J69" s="256" t="str"/>
      <c r="K69" s="256" t="str"/>
      <c r="L69" s="256" t="str"/>
      <c r="M69" s="256" t="str"/>
      <c r="N69" s="256" t="str"/>
      <c r="O69" s="256" t="str"/>
      <c r="P69" s="256" t="str"/>
      <c r="Q69" s="306" t="str"/>
    </row>
    <row r="70" ht="20" customHeight="1" s="48">
      <c r="A70" s="304" t="str"/>
      <c r="B70" s="256" t="str"/>
      <c r="C70" s="256" t="str"/>
      <c r="D70" s="256" t="str"/>
      <c r="E70" s="256" t="str"/>
      <c r="F70" s="256" t="str"/>
      <c r="G70" s="305" t="str"/>
      <c r="H70" s="305" t="str"/>
      <c r="I70" s="256" t="str"/>
      <c r="J70" s="256" t="str"/>
      <c r="K70" s="256" t="str"/>
      <c r="L70" s="256" t="str"/>
      <c r="M70" s="256" t="str"/>
      <c r="N70" s="256" t="str"/>
      <c r="O70" s="256" t="str"/>
      <c r="P70" s="256" t="str"/>
      <c r="Q70" s="306" t="str"/>
    </row>
    <row r="71" ht="20" customHeight="1" s="48">
      <c r="A71" s="304" t="str"/>
      <c r="B71" s="256" t="str"/>
      <c r="C71" s="256" t="str"/>
      <c r="D71" s="256" t="str"/>
      <c r="E71" s="256" t="str"/>
      <c r="F71" s="256" t="str"/>
      <c r="G71" s="305" t="str"/>
      <c r="H71" s="305" t="str"/>
      <c r="I71" s="256" t="str"/>
      <c r="J71" s="256" t="str"/>
      <c r="K71" s="256" t="str"/>
      <c r="L71" s="256" t="str"/>
      <c r="M71" s="256" t="str"/>
      <c r="N71" s="256" t="str"/>
      <c r="O71" s="256" t="str"/>
      <c r="P71" s="256" t="str"/>
      <c r="Q71" s="306" t="str"/>
    </row>
    <row r="72" ht="20" customHeight="1" s="48">
      <c r="A72" s="304" t="str"/>
      <c r="B72" s="256" t="str"/>
      <c r="C72" s="256" t="str"/>
      <c r="D72" s="256" t="str"/>
      <c r="E72" s="256" t="str"/>
      <c r="F72" s="256" t="str"/>
      <c r="G72" s="305" t="str"/>
      <c r="H72" s="305" t="str"/>
      <c r="I72" s="256" t="str"/>
      <c r="J72" s="256" t="str"/>
      <c r="K72" s="256" t="str"/>
      <c r="L72" s="256" t="str"/>
      <c r="M72" s="256" t="str"/>
      <c r="N72" s="256" t="str"/>
      <c r="O72" s="256" t="str"/>
      <c r="P72" s="256" t="str"/>
      <c r="Q72" s="306" t="str"/>
    </row>
    <row r="73" ht="20" customHeight="1" s="48">
      <c r="A73" s="304" t="str"/>
      <c r="B73" s="256" t="str"/>
      <c r="C73" s="256" t="str"/>
      <c r="D73" s="256" t="str"/>
      <c r="E73" s="256" t="str"/>
      <c r="F73" s="256" t="str"/>
      <c r="G73" s="305" t="str"/>
      <c r="H73" s="305" t="str"/>
      <c r="I73" s="256" t="str"/>
      <c r="J73" s="256" t="str"/>
      <c r="K73" s="256" t="str"/>
      <c r="L73" s="256" t="str"/>
      <c r="M73" s="256" t="str"/>
      <c r="N73" s="256" t="str"/>
      <c r="O73" s="256" t="str"/>
      <c r="P73" s="256" t="str"/>
      <c r="Q73" s="306" t="str"/>
    </row>
    <row r="74" ht="20" customHeight="1" s="48">
      <c r="A74" s="304" t="str"/>
      <c r="B74" s="256" t="str"/>
      <c r="C74" s="256" t="str"/>
      <c r="D74" s="256" t="str"/>
      <c r="E74" s="256" t="str"/>
      <c r="F74" s="256" t="str"/>
      <c r="G74" s="305" t="str"/>
      <c r="H74" s="305" t="str"/>
      <c r="I74" s="256" t="str"/>
      <c r="J74" s="256" t="str"/>
      <c r="K74" s="256" t="str"/>
      <c r="L74" s="256" t="str"/>
      <c r="M74" s="256" t="str"/>
      <c r="N74" s="256" t="str"/>
      <c r="O74" s="256" t="str"/>
      <c r="P74" s="256" t="str"/>
      <c r="Q74" s="306" t="str"/>
    </row>
    <row r="75" ht="20" customHeight="1" s="48">
      <c r="A75" s="304" t="str"/>
      <c r="B75" s="256" t="str"/>
      <c r="C75" s="256" t="str"/>
      <c r="D75" s="256" t="str"/>
      <c r="E75" s="256" t="str"/>
      <c r="F75" s="256" t="str"/>
      <c r="G75" s="305" t="str"/>
      <c r="H75" s="305" t="str"/>
      <c r="I75" s="256" t="str"/>
      <c r="J75" s="256" t="str"/>
      <c r="K75" s="256" t="str"/>
      <c r="L75" s="256" t="str"/>
      <c r="M75" s="256" t="str"/>
      <c r="N75" s="256" t="str"/>
      <c r="O75" s="256" t="str"/>
      <c r="P75" s="256" t="str"/>
      <c r="Q75" s="306" t="str"/>
    </row>
    <row r="76" ht="20" customHeight="1" s="48">
      <c r="A76" s="304" t="str"/>
      <c r="B76" s="256" t="str"/>
      <c r="C76" s="256" t="str"/>
      <c r="D76" s="256" t="str"/>
      <c r="E76" s="256" t="str"/>
      <c r="F76" s="256" t="str"/>
      <c r="G76" s="305" t="str"/>
      <c r="H76" s="305" t="str"/>
      <c r="I76" s="256" t="str"/>
      <c r="J76" s="256" t="str"/>
      <c r="K76" s="256" t="str"/>
      <c r="L76" s="256" t="str"/>
      <c r="M76" s="256" t="str"/>
      <c r="N76" s="256" t="str"/>
      <c r="O76" s="256" t="str"/>
      <c r="P76" s="256" t="str"/>
      <c r="Q76" s="306" t="str"/>
    </row>
    <row r="77" ht="20" customHeight="1" s="48">
      <c r="A77" s="304" t="str"/>
      <c r="B77" s="256" t="str"/>
      <c r="C77" s="256" t="str"/>
      <c r="D77" s="256" t="str"/>
      <c r="E77" s="256" t="str"/>
      <c r="F77" s="256" t="str"/>
      <c r="G77" s="305" t="str"/>
      <c r="H77" s="305" t="str"/>
      <c r="I77" s="256" t="str"/>
      <c r="J77" s="256" t="str"/>
      <c r="K77" s="256" t="str"/>
      <c r="L77" s="256" t="str"/>
      <c r="M77" s="256" t="str"/>
      <c r="N77" s="256" t="str"/>
      <c r="O77" s="256" t="str"/>
      <c r="P77" s="256" t="str"/>
      <c r="Q77" s="306" t="str"/>
    </row>
    <row r="78" ht="20" customHeight="1" s="48">
      <c r="A78" s="304" t="str"/>
      <c r="B78" s="256" t="str"/>
      <c r="C78" s="256" t="str"/>
      <c r="D78" s="256" t="str"/>
      <c r="E78" s="256" t="str"/>
      <c r="F78" s="256" t="str"/>
      <c r="G78" s="305" t="str"/>
      <c r="H78" s="305" t="str"/>
      <c r="I78" s="256" t="str"/>
      <c r="J78" s="256" t="str"/>
      <c r="K78" s="256" t="str"/>
      <c r="L78" s="256" t="str"/>
      <c r="M78" s="256" t="str"/>
      <c r="N78" s="256" t="str"/>
      <c r="O78" s="256" t="str"/>
      <c r="P78" s="256" t="str"/>
      <c r="Q78" s="306" t="str"/>
    </row>
    <row r="79" ht="20" customHeight="1" s="48">
      <c r="A79" s="304" t="str"/>
      <c r="B79" s="256" t="str"/>
      <c r="C79" s="256" t="str"/>
      <c r="D79" s="256" t="str"/>
      <c r="E79" s="256" t="str"/>
      <c r="F79" s="256" t="str"/>
      <c r="G79" s="305" t="str"/>
      <c r="H79" s="305" t="str"/>
      <c r="I79" s="256" t="str"/>
      <c r="J79" s="256" t="str"/>
      <c r="K79" s="256" t="str"/>
      <c r="L79" s="256" t="str"/>
      <c r="M79" s="256" t="str"/>
      <c r="N79" s="256" t="str"/>
      <c r="O79" s="256" t="str"/>
      <c r="P79" s="256" t="str"/>
      <c r="Q79" s="306" t="str"/>
    </row>
    <row r="80" ht="20" customHeight="1" s="48">
      <c r="A80" s="304" t="str"/>
      <c r="B80" s="256" t="str"/>
      <c r="C80" s="256" t="str"/>
      <c r="D80" s="256" t="str"/>
      <c r="E80" s="256" t="str"/>
      <c r="F80" s="256" t="str"/>
      <c r="G80" s="305" t="str"/>
      <c r="H80" s="305" t="str"/>
      <c r="I80" s="256" t="str"/>
      <c r="J80" s="256" t="str"/>
      <c r="K80" s="256" t="str"/>
      <c r="L80" s="256" t="str"/>
      <c r="M80" s="256" t="str"/>
      <c r="N80" s="256" t="str"/>
      <c r="O80" s="256" t="str"/>
      <c r="P80" s="256" t="str"/>
      <c r="Q80" s="306" t="str"/>
    </row>
    <row r="81" ht="20" customHeight="1" s="48">
      <c r="A81" s="304" t="str"/>
      <c r="B81" s="256" t="str"/>
      <c r="C81" s="256" t="str"/>
      <c r="D81" s="256" t="str"/>
      <c r="E81" s="256" t="str"/>
      <c r="F81" s="256" t="str"/>
      <c r="G81" s="305" t="str"/>
      <c r="H81" s="305" t="str"/>
      <c r="I81" s="256" t="str"/>
      <c r="J81" s="256" t="str"/>
      <c r="K81" s="256" t="str"/>
      <c r="L81" s="256" t="str"/>
      <c r="M81" s="256" t="str"/>
      <c r="N81" s="256" t="str"/>
      <c r="O81" s="256" t="str"/>
      <c r="P81" s="256" t="str"/>
      <c r="Q81" s="306" t="str"/>
    </row>
    <row r="82" ht="20" customHeight="1" s="48">
      <c r="A82" s="304" t="str"/>
      <c r="B82" s="256" t="str"/>
      <c r="C82" s="256" t="str"/>
      <c r="D82" s="256" t="str"/>
      <c r="E82" s="256" t="str"/>
      <c r="F82" s="256" t="str"/>
      <c r="G82" s="305" t="str"/>
      <c r="H82" s="305" t="str"/>
      <c r="I82" s="256" t="str"/>
      <c r="J82" s="256" t="str"/>
      <c r="K82" s="256" t="str"/>
      <c r="L82" s="256" t="str"/>
      <c r="M82" s="256" t="str"/>
      <c r="N82" s="256" t="str"/>
      <c r="O82" s="256" t="str"/>
      <c r="P82" s="256" t="str"/>
      <c r="Q82" s="306" t="str"/>
    </row>
    <row r="83" ht="20" customHeight="1" s="48">
      <c r="A83" s="304" t="str"/>
      <c r="B83" s="256" t="str"/>
      <c r="C83" s="256" t="str"/>
      <c r="D83" s="256" t="str"/>
      <c r="E83" s="256" t="str"/>
      <c r="F83" s="256" t="str"/>
      <c r="G83" s="305" t="str"/>
      <c r="H83" s="305" t="str"/>
      <c r="I83" s="256" t="str"/>
      <c r="J83" s="256" t="str"/>
      <c r="K83" s="256" t="str"/>
      <c r="L83" s="256" t="str"/>
      <c r="M83" s="256" t="str"/>
      <c r="N83" s="256" t="str"/>
      <c r="O83" s="256" t="str"/>
      <c r="P83" s="256" t="str"/>
      <c r="Q83" s="306" t="str"/>
    </row>
    <row r="84" ht="20" customHeight="1" s="48">
      <c r="A84" s="304" t="str"/>
      <c r="B84" s="256" t="str"/>
      <c r="C84" s="256" t="str"/>
      <c r="D84" s="256" t="str"/>
      <c r="E84" s="256" t="str"/>
      <c r="F84" s="256" t="str"/>
      <c r="G84" s="305" t="str"/>
      <c r="H84" s="305" t="str"/>
      <c r="I84" s="256" t="str"/>
      <c r="J84" s="256" t="str"/>
      <c r="K84" s="256" t="str"/>
      <c r="L84" s="256" t="str"/>
      <c r="M84" s="256" t="str"/>
      <c r="N84" s="256" t="str"/>
      <c r="O84" s="256" t="str"/>
      <c r="P84" s="256" t="str"/>
      <c r="Q84" s="306" t="str"/>
    </row>
    <row r="85" ht="20" customHeight="1" s="48">
      <c r="A85" s="304" t="str"/>
      <c r="B85" s="256" t="str"/>
      <c r="C85" s="256" t="str"/>
      <c r="D85" s="256" t="str"/>
      <c r="E85" s="256" t="str"/>
      <c r="F85" s="256" t="str"/>
      <c r="G85" s="305" t="str"/>
      <c r="H85" s="305" t="str"/>
      <c r="I85" s="256" t="str"/>
      <c r="J85" s="256" t="str"/>
      <c r="K85" s="256" t="str"/>
      <c r="L85" s="256" t="str"/>
      <c r="M85" s="256" t="str"/>
      <c r="N85" s="256" t="str"/>
      <c r="O85" s="256" t="str"/>
      <c r="P85" s="256" t="str"/>
      <c r="Q85" s="306" t="str"/>
    </row>
    <row r="86" ht="20" customHeight="1" s="48">
      <c r="A86" s="304" t="str"/>
      <c r="B86" s="256" t="str"/>
      <c r="C86" s="256" t="str"/>
      <c r="D86" s="256" t="str"/>
      <c r="E86" s="256" t="str"/>
      <c r="F86" s="256" t="str"/>
      <c r="G86" s="305" t="str"/>
      <c r="H86" s="305" t="str"/>
      <c r="I86" s="256" t="str"/>
      <c r="J86" s="256" t="str"/>
      <c r="K86" s="256" t="str"/>
      <c r="L86" s="256" t="str"/>
      <c r="M86" s="256" t="str"/>
      <c r="N86" s="256" t="str"/>
      <c r="O86" s="256" t="str"/>
      <c r="P86" s="256" t="str"/>
      <c r="Q86" s="306" t="str"/>
    </row>
    <row r="87" ht="20" customHeight="1" s="48">
      <c r="A87" s="304" t="str"/>
      <c r="B87" s="256" t="str"/>
      <c r="C87" s="256" t="str"/>
      <c r="D87" s="256" t="str"/>
      <c r="E87" s="256" t="str"/>
      <c r="F87" s="256" t="str"/>
      <c r="G87" s="305" t="str"/>
      <c r="H87" s="305" t="str"/>
      <c r="I87" s="256" t="str"/>
      <c r="J87" s="256" t="str"/>
      <c r="K87" s="256" t="str"/>
      <c r="L87" s="256" t="str"/>
      <c r="M87" s="256" t="str"/>
      <c r="N87" s="256" t="str"/>
      <c r="O87" s="256" t="str"/>
      <c r="P87" s="256" t="str"/>
      <c r="Q87" s="306" t="str"/>
    </row>
    <row r="88" ht="20" customHeight="1" s="48">
      <c r="A88" s="304" t="str"/>
      <c r="B88" s="256" t="str"/>
      <c r="C88" s="256" t="str"/>
      <c r="D88" s="256" t="str"/>
      <c r="E88" s="256" t="str"/>
      <c r="F88" s="256" t="str"/>
      <c r="G88" s="305" t="str"/>
      <c r="H88" s="305" t="str"/>
      <c r="I88" s="256" t="str"/>
      <c r="J88" s="256" t="str"/>
      <c r="K88" s="256" t="str"/>
      <c r="L88" s="256" t="str"/>
      <c r="M88" s="256" t="str"/>
      <c r="N88" s="256" t="str"/>
      <c r="O88" s="256" t="str"/>
      <c r="P88" s="256" t="str"/>
      <c r="Q88" s="306" t="str"/>
    </row>
    <row r="89" ht="20" customHeight="1" s="48">
      <c r="A89" s="304" t="str"/>
      <c r="B89" s="256" t="str"/>
      <c r="C89" s="256" t="str"/>
      <c r="D89" s="256" t="str"/>
      <c r="E89" s="256" t="str"/>
      <c r="F89" s="256" t="str"/>
      <c r="G89" s="305" t="str"/>
      <c r="H89" s="305" t="str"/>
      <c r="I89" s="256" t="str"/>
      <c r="J89" s="256" t="str"/>
      <c r="K89" s="256" t="str"/>
      <c r="L89" s="256" t="str"/>
      <c r="M89" s="256" t="str"/>
      <c r="N89" s="256" t="str"/>
      <c r="O89" s="256" t="str"/>
      <c r="P89" s="256" t="str"/>
      <c r="Q89" s="306" t="str"/>
    </row>
    <row r="90" ht="20" customHeight="1" s="48">
      <c r="A90" s="304" t="str"/>
      <c r="B90" s="256" t="str"/>
      <c r="C90" s="256" t="str"/>
      <c r="D90" s="256" t="str"/>
      <c r="E90" s="256" t="str"/>
      <c r="F90" s="256" t="str"/>
      <c r="G90" s="305" t="str"/>
      <c r="H90" s="305" t="str"/>
      <c r="I90" s="256" t="str"/>
      <c r="J90" s="256" t="str"/>
      <c r="K90" s="256" t="str"/>
      <c r="L90" s="256" t="str"/>
      <c r="M90" s="256" t="str"/>
      <c r="N90" s="256" t="str"/>
      <c r="O90" s="256" t="str"/>
      <c r="P90" s="256" t="str"/>
      <c r="Q90" s="306" t="str"/>
    </row>
    <row r="91" ht="20" customHeight="1" s="48">
      <c r="A91" s="304" t="str"/>
      <c r="B91" s="256" t="str"/>
      <c r="C91" s="256" t="str"/>
      <c r="D91" s="256" t="str"/>
      <c r="E91" s="256" t="str"/>
      <c r="F91" s="256" t="str"/>
      <c r="G91" s="305" t="str"/>
      <c r="H91" s="305" t="str"/>
      <c r="I91" s="256" t="str"/>
      <c r="J91" s="256" t="str"/>
      <c r="K91" s="256" t="str"/>
      <c r="L91" s="256" t="str"/>
      <c r="M91" s="256" t="str"/>
      <c r="N91" s="256" t="str"/>
      <c r="O91" s="256" t="str"/>
      <c r="P91" s="256" t="str"/>
      <c r="Q91" s="306" t="str"/>
    </row>
    <row r="92" ht="20" customHeight="1" s="48">
      <c r="A92" s="304" t="str"/>
      <c r="B92" s="256" t="str"/>
      <c r="C92" s="256" t="str"/>
      <c r="D92" s="256" t="str"/>
      <c r="E92" s="256" t="str"/>
      <c r="F92" s="256" t="str"/>
      <c r="G92" s="305" t="str"/>
      <c r="H92" s="305" t="str"/>
      <c r="I92" s="256" t="str"/>
      <c r="J92" s="256" t="str"/>
      <c r="K92" s="256" t="str"/>
      <c r="L92" s="256" t="str"/>
      <c r="M92" s="256" t="str"/>
      <c r="N92" s="256" t="str"/>
      <c r="O92" s="256" t="str"/>
      <c r="P92" s="256" t="str"/>
      <c r="Q92" s="306" t="str"/>
    </row>
    <row r="93" ht="20" customHeight="1" s="48">
      <c r="A93" s="304" t="str"/>
      <c r="B93" s="256" t="str"/>
      <c r="C93" s="256" t="str"/>
      <c r="D93" s="256" t="str"/>
      <c r="E93" s="256" t="str"/>
      <c r="F93" s="256" t="str"/>
      <c r="G93" s="305" t="str"/>
      <c r="H93" s="305" t="str"/>
      <c r="I93" s="256" t="str"/>
      <c r="J93" s="256" t="str"/>
      <c r="K93" s="256" t="str"/>
      <c r="L93" s="256" t="str"/>
      <c r="M93" s="256" t="str"/>
      <c r="N93" s="256" t="str"/>
      <c r="O93" s="256" t="str"/>
      <c r="P93" s="256" t="str"/>
      <c r="Q93" s="306" t="str"/>
    </row>
    <row r="94" ht="20" customHeight="1" s="48">
      <c r="A94" s="304" t="str"/>
      <c r="B94" s="256" t="str"/>
      <c r="C94" s="256" t="str"/>
      <c r="D94" s="256" t="str"/>
      <c r="E94" s="256" t="str"/>
      <c r="F94" s="256" t="str"/>
      <c r="G94" s="305" t="str"/>
      <c r="H94" s="305" t="str"/>
      <c r="I94" s="256" t="str"/>
      <c r="J94" s="256" t="str"/>
      <c r="K94" s="256" t="str"/>
      <c r="L94" s="256" t="str"/>
      <c r="M94" s="256" t="str"/>
      <c r="N94" s="256" t="str"/>
      <c r="O94" s="256" t="str"/>
      <c r="P94" s="256" t="str"/>
      <c r="Q94" s="306" t="str"/>
    </row>
    <row r="95" ht="20" customHeight="1" s="48">
      <c r="A95" s="304" t="str"/>
      <c r="B95" s="256" t="str"/>
      <c r="C95" s="256" t="str"/>
      <c r="D95" s="256" t="str"/>
      <c r="E95" s="256" t="str"/>
      <c r="F95" s="256" t="str"/>
      <c r="G95" s="305" t="str"/>
      <c r="H95" s="305" t="str"/>
      <c r="I95" s="256" t="str"/>
      <c r="J95" s="256" t="str"/>
      <c r="K95" s="256" t="str"/>
      <c r="L95" s="256" t="str"/>
      <c r="M95" s="256" t="str"/>
      <c r="N95" s="256" t="str"/>
      <c r="O95" s="256" t="str"/>
      <c r="P95" s="256" t="str"/>
      <c r="Q95" s="306" t="str"/>
    </row>
    <row r="96" ht="20" customHeight="1" s="48">
      <c r="A96" s="304" t="str"/>
      <c r="B96" s="256" t="str"/>
      <c r="C96" s="256" t="str"/>
      <c r="D96" s="256" t="str"/>
      <c r="E96" s="256" t="str"/>
      <c r="F96" s="256" t="str"/>
      <c r="G96" s="305" t="str"/>
      <c r="H96" s="305" t="str"/>
      <c r="I96" s="256" t="str"/>
      <c r="J96" s="256" t="str"/>
      <c r="K96" s="256" t="str"/>
      <c r="L96" s="256" t="str"/>
      <c r="M96" s="256" t="str"/>
      <c r="N96" s="256" t="str"/>
      <c r="O96" s="256" t="str"/>
      <c r="P96" s="256" t="str"/>
      <c r="Q96" s="306" t="str"/>
    </row>
    <row r="97" ht="20" customHeight="1" s="48">
      <c r="A97" s="304" t="str"/>
      <c r="B97" s="256" t="str"/>
      <c r="C97" s="256" t="str"/>
      <c r="D97" s="256" t="str"/>
      <c r="E97" s="256" t="str"/>
      <c r="F97" s="256" t="str"/>
      <c r="G97" s="305" t="str"/>
      <c r="H97" s="305" t="str"/>
      <c r="I97" s="256" t="str"/>
      <c r="J97" s="256" t="str"/>
      <c r="K97" s="256" t="str"/>
      <c r="L97" s="256" t="str"/>
      <c r="M97" s="256" t="str"/>
      <c r="N97" s="256" t="str"/>
      <c r="O97" s="256" t="str"/>
      <c r="P97" s="256" t="str"/>
      <c r="Q97" s="306" t="str"/>
    </row>
    <row r="98" ht="20" customHeight="1" s="48">
      <c r="A98" s="304" t="str"/>
      <c r="B98" s="256" t="str"/>
      <c r="C98" s="256" t="str"/>
      <c r="D98" s="256" t="str"/>
      <c r="E98" s="256" t="str"/>
      <c r="F98" s="256" t="str"/>
      <c r="G98" s="305" t="str"/>
      <c r="H98" s="305" t="str"/>
      <c r="I98" s="256" t="str"/>
      <c r="J98" s="256" t="str"/>
      <c r="K98" s="256" t="str"/>
      <c r="L98" s="256" t="str"/>
      <c r="M98" s="256" t="str"/>
      <c r="N98" s="256" t="str"/>
      <c r="O98" s="256" t="str"/>
      <c r="P98" s="256" t="str"/>
      <c r="Q98" s="306" t="str"/>
    </row>
    <row r="99" ht="20" customHeight="1" s="48">
      <c r="A99" s="304" t="str"/>
      <c r="B99" s="256" t="str"/>
      <c r="C99" s="256" t="str"/>
      <c r="D99" s="256" t="str"/>
      <c r="E99" s="256" t="str"/>
      <c r="F99" s="256" t="str"/>
      <c r="G99" s="305" t="str"/>
      <c r="H99" s="305" t="str"/>
      <c r="I99" s="256" t="str"/>
      <c r="J99" s="256" t="str"/>
      <c r="K99" s="256" t="str"/>
      <c r="L99" s="256" t="str"/>
      <c r="M99" s="256" t="str"/>
      <c r="N99" s="256" t="str"/>
      <c r="O99" s="256" t="str"/>
      <c r="P99" s="256" t="str"/>
      <c r="Q99" s="306" t="str"/>
    </row>
    <row r="100" ht="20" customHeight="1" s="48">
      <c r="A100" s="304" t="str"/>
      <c r="B100" s="256" t="str"/>
      <c r="C100" s="256" t="str"/>
      <c r="D100" s="256" t="str"/>
      <c r="E100" s="256" t="str"/>
      <c r="F100" s="256" t="str"/>
      <c r="G100" s="305" t="str"/>
      <c r="H100" s="305" t="str"/>
      <c r="I100" s="256" t="str"/>
      <c r="J100" s="256" t="str"/>
      <c r="K100" s="256" t="str"/>
      <c r="L100" s="256" t="str"/>
      <c r="M100" s="256" t="str"/>
      <c r="N100" s="256" t="str"/>
      <c r="O100" s="256" t="str"/>
      <c r="P100" s="256" t="str"/>
      <c r="Q100" s="306" t="str"/>
    </row>
    <row r="101" ht="20" customHeight="1" s="48">
      <c r="A101" s="304" t="str"/>
      <c r="B101" s="256" t="str"/>
      <c r="C101" s="256" t="str"/>
      <c r="D101" s="256" t="str"/>
      <c r="E101" s="256" t="str"/>
      <c r="F101" s="256" t="str"/>
      <c r="G101" s="305" t="str"/>
      <c r="H101" s="305" t="str"/>
      <c r="I101" s="256" t="str"/>
      <c r="J101" s="256" t="str"/>
      <c r="K101" s="256" t="str"/>
      <c r="L101" s="256" t="str"/>
      <c r="M101" s="256" t="str"/>
      <c r="N101" s="256" t="str"/>
      <c r="O101" s="256" t="str"/>
      <c r="P101" s="256" t="str"/>
      <c r="Q101" s="306" t="str"/>
    </row>
    <row r="102" ht="20" customHeight="1" s="48">
      <c r="A102" s="304" t="str"/>
      <c r="B102" s="256" t="str"/>
      <c r="C102" s="256" t="str"/>
      <c r="D102" s="256" t="str"/>
      <c r="E102" s="256" t="str"/>
      <c r="F102" s="256" t="str"/>
      <c r="G102" s="305" t="str"/>
      <c r="H102" s="305" t="str"/>
      <c r="I102" s="256" t="str"/>
      <c r="J102" s="256" t="str"/>
      <c r="K102" s="256" t="str"/>
      <c r="L102" s="256" t="str"/>
      <c r="M102" s="256" t="str"/>
      <c r="N102" s="256" t="str"/>
      <c r="O102" s="256" t="str"/>
      <c r="P102" s="256" t="str"/>
      <c r="Q102" s="306" t="str"/>
    </row>
    <row r="103" ht="20" customHeight="1" s="48">
      <c r="A103" s="304" t="str"/>
      <c r="B103" s="256" t="str"/>
      <c r="C103" s="256" t="str"/>
      <c r="D103" s="256" t="str"/>
      <c r="E103" s="256" t="str"/>
      <c r="F103" s="256" t="str"/>
      <c r="G103" s="305" t="str"/>
      <c r="H103" s="305" t="str"/>
      <c r="I103" s="256" t="str"/>
      <c r="J103" s="256" t="str"/>
      <c r="K103" s="256" t="str"/>
      <c r="L103" s="256" t="str"/>
      <c r="M103" s="256" t="str"/>
      <c r="N103" s="256" t="str"/>
      <c r="O103" s="256" t="str"/>
      <c r="P103" s="256" t="str"/>
      <c r="Q103" s="306" t="str"/>
    </row>
    <row r="104" ht="20" customHeight="1" s="48">
      <c r="A104" s="304" t="str"/>
      <c r="B104" s="256" t="str"/>
      <c r="C104" s="256" t="str"/>
      <c r="D104" s="256" t="str"/>
      <c r="E104" s="256" t="str"/>
      <c r="F104" s="256" t="str"/>
      <c r="G104" s="305" t="str"/>
      <c r="H104" s="305" t="str"/>
      <c r="I104" s="256" t="str"/>
      <c r="J104" s="256" t="str"/>
      <c r="K104" s="256" t="str"/>
      <c r="L104" s="256" t="str"/>
      <c r="M104" s="256" t="str"/>
      <c r="N104" s="256" t="str"/>
      <c r="O104" s="256" t="str"/>
      <c r="P104" s="256" t="str"/>
      <c r="Q104" s="306" t="str"/>
    </row>
    <row r="105" ht="20" customHeight="1" s="48">
      <c r="A105" s="304" t="str"/>
      <c r="B105" s="256" t="str"/>
      <c r="C105" s="256" t="str"/>
      <c r="D105" s="256" t="str"/>
      <c r="E105" s="256" t="str"/>
      <c r="F105" s="256" t="str"/>
      <c r="G105" s="305" t="str"/>
      <c r="H105" s="305" t="str"/>
      <c r="I105" s="256" t="str"/>
      <c r="J105" s="256" t="str"/>
      <c r="K105" s="256" t="str"/>
      <c r="L105" s="256" t="str"/>
      <c r="M105" s="256" t="str"/>
      <c r="N105" s="256" t="str"/>
      <c r="O105" s="256" t="str"/>
      <c r="P105" s="256" t="str"/>
      <c r="Q105" s="306" t="str"/>
    </row>
    <row r="106" ht="20" customHeight="1" s="48">
      <c r="A106" s="304" t="str"/>
      <c r="B106" s="256" t="str"/>
      <c r="C106" s="256" t="str"/>
      <c r="D106" s="256" t="str"/>
      <c r="E106" s="256" t="str"/>
      <c r="F106" s="256" t="str"/>
      <c r="G106" s="305" t="str"/>
      <c r="H106" s="305" t="str"/>
      <c r="I106" s="256" t="str"/>
      <c r="J106" s="256" t="str"/>
      <c r="K106" s="256" t="str"/>
      <c r="L106" s="256" t="str"/>
      <c r="M106" s="256" t="str"/>
      <c r="N106" s="256" t="str"/>
      <c r="O106" s="256" t="str"/>
      <c r="P106" s="256" t="str"/>
      <c r="Q106" s="306" t="str"/>
    </row>
    <row r="107" ht="20" customHeight="1" s="48">
      <c r="A107" s="304" t="str"/>
      <c r="B107" s="256" t="str"/>
      <c r="C107" s="256" t="str"/>
      <c r="D107" s="256" t="str"/>
      <c r="E107" s="256" t="str"/>
      <c r="F107" s="256" t="str"/>
      <c r="G107" s="305" t="str"/>
      <c r="H107" s="305" t="str"/>
      <c r="I107" s="256" t="str"/>
      <c r="J107" s="256" t="str"/>
      <c r="K107" s="256" t="str"/>
      <c r="L107" s="256" t="str"/>
      <c r="M107" s="256" t="str"/>
      <c r="N107" s="256" t="str"/>
      <c r="O107" s="256" t="str"/>
      <c r="P107" s="256" t="str"/>
      <c r="Q107" s="306" t="str"/>
    </row>
    <row r="108" ht="20" customHeight="1" s="48">
      <c r="A108" s="304" t="str"/>
      <c r="B108" s="256" t="str"/>
      <c r="C108" s="256" t="str"/>
      <c r="D108" s="256" t="str"/>
      <c r="E108" s="256" t="str"/>
      <c r="F108" s="256" t="str"/>
      <c r="G108" s="305" t="str"/>
      <c r="H108" s="305" t="str"/>
      <c r="I108" s="256" t="str"/>
      <c r="J108" s="256" t="str"/>
      <c r="K108" s="256" t="str"/>
      <c r="L108" s="256" t="str"/>
      <c r="M108" s="256" t="str"/>
      <c r="N108" s="256" t="str"/>
      <c r="O108" s="256" t="str"/>
      <c r="P108" s="256" t="str"/>
      <c r="Q108" s="306" t="str"/>
    </row>
    <row r="109" ht="20" customHeight="1" s="48">
      <c r="A109" s="304" t="str"/>
      <c r="B109" s="256" t="str"/>
      <c r="C109" s="256" t="str"/>
      <c r="D109" s="256" t="str"/>
      <c r="E109" s="256" t="str"/>
      <c r="F109" s="256" t="str"/>
      <c r="G109" s="305" t="str"/>
      <c r="H109" s="305" t="str"/>
      <c r="I109" s="256" t="str"/>
      <c r="J109" s="256" t="str"/>
      <c r="K109" s="256" t="str"/>
      <c r="L109" s="256" t="str"/>
      <c r="M109" s="256" t="str"/>
      <c r="N109" s="256" t="str"/>
      <c r="O109" s="256" t="str"/>
      <c r="P109" s="256" t="str"/>
      <c r="Q109" s="306" t="str"/>
    </row>
    <row r="110" ht="20" customHeight="1" s="48">
      <c r="A110" s="304" t="str"/>
      <c r="B110" s="256" t="str"/>
      <c r="C110" s="256" t="str"/>
      <c r="D110" s="256" t="str"/>
      <c r="E110" s="256" t="str"/>
      <c r="F110" s="256" t="str"/>
      <c r="G110" s="305" t="str"/>
      <c r="H110" s="305" t="str"/>
      <c r="I110" s="256" t="str"/>
      <c r="J110" s="256" t="str"/>
      <c r="K110" s="256" t="str"/>
      <c r="L110" s="256" t="str"/>
      <c r="M110" s="256" t="str"/>
      <c r="N110" s="256" t="str"/>
      <c r="O110" s="256" t="str"/>
      <c r="P110" s="256" t="str"/>
      <c r="Q110" s="306" t="str"/>
    </row>
    <row r="111" ht="20" customHeight="1" s="48">
      <c r="A111" s="304" t="str"/>
      <c r="B111" s="256" t="str"/>
      <c r="C111" s="256" t="str"/>
      <c r="D111" s="256" t="str"/>
      <c r="E111" s="256" t="str"/>
      <c r="F111" s="256" t="str"/>
      <c r="G111" s="305" t="str"/>
      <c r="H111" s="305" t="str"/>
      <c r="I111" s="256" t="str"/>
      <c r="J111" s="256" t="str"/>
      <c r="K111" s="256" t="str"/>
      <c r="L111" s="256" t="str"/>
      <c r="M111" s="256" t="str"/>
      <c r="N111" s="256" t="str"/>
      <c r="O111" s="256" t="str"/>
      <c r="P111" s="256" t="str"/>
      <c r="Q111" s="306" t="str"/>
    </row>
    <row r="112" ht="20" customHeight="1" s="48">
      <c r="A112" s="304" t="str"/>
      <c r="B112" s="256" t="str"/>
      <c r="C112" s="256" t="str"/>
      <c r="D112" s="256" t="str"/>
      <c r="E112" s="256" t="str"/>
      <c r="F112" s="256" t="str"/>
      <c r="G112" s="305" t="str"/>
      <c r="H112" s="305" t="str"/>
      <c r="I112" s="256" t="str"/>
      <c r="J112" s="256" t="str"/>
      <c r="K112" s="256" t="str"/>
      <c r="L112" s="256" t="str"/>
      <c r="M112" s="256" t="str"/>
      <c r="N112" s="256" t="str"/>
      <c r="O112" s="256" t="str"/>
      <c r="P112" s="256" t="str"/>
      <c r="Q112" s="306" t="str"/>
    </row>
    <row r="113" ht="20" customHeight="1" s="48">
      <c r="A113" s="304" t="str"/>
      <c r="B113" s="256" t="str"/>
      <c r="C113" s="256" t="str"/>
      <c r="D113" s="256" t="str"/>
      <c r="E113" s="256" t="str"/>
      <c r="F113" s="256" t="str"/>
      <c r="G113" s="305" t="str"/>
      <c r="H113" s="305" t="str"/>
      <c r="I113" s="256" t="str"/>
      <c r="J113" s="256" t="str"/>
      <c r="K113" s="256" t="str"/>
      <c r="L113" s="256" t="str"/>
      <c r="M113" s="256" t="str"/>
      <c r="N113" s="256" t="str"/>
      <c r="O113" s="256" t="str"/>
      <c r="P113" s="256" t="str"/>
      <c r="Q113" s="306" t="str"/>
    </row>
    <row r="114" ht="20" customHeight="1" s="48">
      <c r="A114" s="304" t="str"/>
      <c r="B114" s="256" t="str"/>
      <c r="C114" s="256" t="str"/>
      <c r="D114" s="256" t="str"/>
      <c r="E114" s="256" t="str"/>
      <c r="F114" s="256" t="str"/>
      <c r="G114" s="305" t="str"/>
      <c r="H114" s="305" t="str"/>
      <c r="I114" s="256" t="str"/>
      <c r="J114" s="256" t="str"/>
      <c r="K114" s="256" t="str"/>
      <c r="L114" s="256" t="str"/>
      <c r="M114" s="256" t="str"/>
      <c r="N114" s="256" t="str"/>
      <c r="O114" s="256" t="str"/>
      <c r="P114" s="256" t="str"/>
      <c r="Q114" s="306" t="str"/>
    </row>
    <row r="115" ht="20" customHeight="1" s="48">
      <c r="A115" s="304" t="str"/>
      <c r="B115" s="256" t="str"/>
      <c r="C115" s="256" t="str"/>
      <c r="D115" s="256" t="str"/>
      <c r="E115" s="256" t="str"/>
      <c r="F115" s="256" t="str"/>
      <c r="G115" s="305" t="str"/>
      <c r="H115" s="305" t="str"/>
      <c r="I115" s="256" t="str"/>
      <c r="J115" s="256" t="str"/>
      <c r="K115" s="256" t="str"/>
      <c r="L115" s="256" t="str"/>
      <c r="M115" s="256" t="str"/>
      <c r="N115" s="256" t="str"/>
      <c r="O115" s="256" t="str"/>
      <c r="P115" s="256" t="str"/>
      <c r="Q115" s="306" t="str"/>
    </row>
    <row r="116" ht="20" customHeight="1" s="48">
      <c r="A116" s="304" t="str"/>
      <c r="B116" s="256" t="str"/>
      <c r="C116" s="256" t="str"/>
      <c r="D116" s="256" t="str"/>
      <c r="E116" s="256" t="str"/>
      <c r="F116" s="256" t="str"/>
      <c r="G116" s="305" t="str"/>
      <c r="H116" s="305" t="str"/>
      <c r="I116" s="256" t="str"/>
      <c r="J116" s="256" t="str"/>
      <c r="K116" s="256" t="str"/>
      <c r="L116" s="256" t="str"/>
      <c r="M116" s="256" t="str"/>
      <c r="N116" s="256" t="str"/>
      <c r="O116" s="256" t="str"/>
      <c r="P116" s="256" t="str"/>
      <c r="Q116" s="306" t="str"/>
    </row>
    <row r="117" ht="20" customHeight="1" s="48">
      <c r="A117" s="304" t="str"/>
      <c r="B117" s="256" t="str"/>
      <c r="C117" s="256" t="str"/>
      <c r="D117" s="256" t="str"/>
      <c r="E117" s="256" t="str"/>
      <c r="F117" s="256" t="str"/>
      <c r="G117" s="305" t="str"/>
      <c r="H117" s="305" t="str"/>
      <c r="I117" s="256" t="str"/>
      <c r="J117" s="256" t="str"/>
      <c r="K117" s="256" t="str"/>
      <c r="L117" s="256" t="str"/>
      <c r="M117" s="256" t="str"/>
      <c r="N117" s="256" t="str"/>
      <c r="O117" s="256" t="str"/>
      <c r="P117" s="256" t="str"/>
      <c r="Q117" s="306" t="str"/>
    </row>
    <row r="118" ht="20" customHeight="1" s="48">
      <c r="A118" s="304" t="str"/>
      <c r="B118" s="256" t="str"/>
      <c r="C118" s="256" t="str"/>
      <c r="D118" s="256" t="str"/>
      <c r="E118" s="256" t="str"/>
      <c r="F118" s="256" t="str"/>
      <c r="G118" s="305" t="str"/>
      <c r="H118" s="305" t="str"/>
      <c r="I118" s="256" t="str"/>
      <c r="J118" s="256" t="str"/>
      <c r="K118" s="256" t="str"/>
      <c r="L118" s="256" t="str"/>
      <c r="M118" s="256" t="str"/>
      <c r="N118" s="256" t="str"/>
      <c r="O118" s="256" t="str"/>
      <c r="P118" s="256" t="str"/>
      <c r="Q118" s="306" t="str"/>
    </row>
    <row r="119" ht="20" customHeight="1" s="48">
      <c r="A119" s="304" t="str"/>
      <c r="B119" s="256" t="str"/>
      <c r="C119" s="256" t="str"/>
      <c r="D119" s="256" t="str"/>
      <c r="E119" s="256" t="str"/>
      <c r="F119" s="256" t="str"/>
      <c r="G119" s="305" t="str"/>
      <c r="H119" s="305" t="str"/>
      <c r="I119" s="256" t="str"/>
      <c r="J119" s="256" t="str"/>
      <c r="K119" s="256" t="str"/>
      <c r="L119" s="256" t="str"/>
      <c r="M119" s="256" t="str"/>
      <c r="N119" s="256" t="str"/>
      <c r="O119" s="256" t="str"/>
      <c r="P119" s="256" t="str"/>
      <c r="Q119" s="306" t="str"/>
    </row>
    <row r="120" ht="20" customHeight="1" s="48">
      <c r="A120" s="304" t="str"/>
      <c r="B120" s="256" t="str"/>
      <c r="C120" s="256" t="str"/>
      <c r="D120" s="256" t="str"/>
      <c r="E120" s="256" t="str"/>
      <c r="F120" s="256" t="str"/>
      <c r="G120" s="305" t="str"/>
      <c r="H120" s="305" t="str"/>
      <c r="I120" s="256" t="str"/>
      <c r="J120" s="256" t="str"/>
      <c r="K120" s="256" t="str"/>
      <c r="L120" s="256" t="str"/>
      <c r="M120" s="256" t="str"/>
      <c r="N120" s="256" t="str"/>
      <c r="O120" s="256" t="str"/>
      <c r="P120" s="256" t="str"/>
      <c r="Q120" s="306" t="str"/>
    </row>
    <row r="121" ht="20" customHeight="1" s="48">
      <c r="A121" s="304" t="str"/>
      <c r="B121" s="256" t="str"/>
      <c r="C121" s="256" t="str"/>
      <c r="D121" s="256" t="str"/>
      <c r="E121" s="256" t="str"/>
      <c r="F121" s="256" t="str"/>
      <c r="G121" s="305" t="str"/>
      <c r="H121" s="305" t="str"/>
      <c r="I121" s="256" t="str"/>
      <c r="J121" s="256" t="str"/>
      <c r="K121" s="256" t="str"/>
      <c r="L121" s="256" t="str"/>
      <c r="M121" s="256" t="str"/>
      <c r="N121" s="256" t="str"/>
      <c r="O121" s="256" t="str"/>
      <c r="P121" s="256" t="str"/>
      <c r="Q121" s="306" t="str"/>
    </row>
    <row r="122" ht="20" customHeight="1" s="48">
      <c r="A122" s="304" t="str"/>
      <c r="B122" s="256" t="str"/>
      <c r="C122" s="256" t="str"/>
      <c r="D122" s="256" t="str"/>
      <c r="E122" s="256" t="str"/>
      <c r="F122" s="256" t="str"/>
      <c r="G122" s="305" t="str"/>
      <c r="H122" s="305" t="str"/>
      <c r="I122" s="256" t="str"/>
      <c r="J122" s="256" t="str"/>
      <c r="K122" s="256" t="str"/>
      <c r="L122" s="256" t="str"/>
      <c r="M122" s="256" t="str"/>
      <c r="N122" s="256" t="str"/>
      <c r="O122" s="256" t="str"/>
      <c r="P122" s="256" t="str"/>
      <c r="Q122" s="306" t="str"/>
    </row>
    <row r="123" ht="20" customHeight="1" s="48">
      <c r="A123" s="304" t="str"/>
      <c r="B123" s="256" t="str"/>
      <c r="C123" s="256" t="str"/>
      <c r="D123" s="256" t="str"/>
      <c r="E123" s="256" t="str"/>
      <c r="F123" s="256" t="str"/>
      <c r="G123" s="305" t="str"/>
      <c r="H123" s="305" t="str"/>
      <c r="I123" s="256" t="str"/>
      <c r="J123" s="256" t="str"/>
      <c r="K123" s="256" t="str"/>
      <c r="L123" s="256" t="str"/>
      <c r="M123" s="256" t="str"/>
      <c r="N123" s="256" t="str"/>
      <c r="O123" s="256" t="str"/>
      <c r="P123" s="256" t="str"/>
      <c r="Q123" s="306" t="str"/>
    </row>
    <row r="124" ht="20" customHeight="1" s="48">
      <c r="A124" s="304" t="str"/>
      <c r="B124" s="256" t="str"/>
      <c r="C124" s="256" t="str"/>
      <c r="D124" s="256" t="str"/>
      <c r="E124" s="256" t="str"/>
      <c r="F124" s="256" t="str"/>
      <c r="G124" s="305" t="str"/>
      <c r="H124" s="305" t="str"/>
      <c r="I124" s="256" t="str"/>
      <c r="J124" s="256" t="str"/>
      <c r="K124" s="256" t="str"/>
      <c r="L124" s="256" t="str"/>
      <c r="M124" s="256" t="str"/>
      <c r="N124" s="256" t="str"/>
      <c r="O124" s="256" t="str"/>
      <c r="P124" s="256" t="str"/>
      <c r="Q124" s="306" t="str"/>
    </row>
    <row r="125" ht="20" customHeight="1" s="48">
      <c r="A125" s="304" t="str"/>
      <c r="B125" s="256" t="str"/>
      <c r="C125" s="256" t="str"/>
      <c r="D125" s="256" t="str"/>
      <c r="E125" s="256" t="str"/>
      <c r="F125" s="256" t="str"/>
      <c r="G125" s="305" t="str"/>
      <c r="H125" s="305" t="str"/>
      <c r="I125" s="256" t="str"/>
      <c r="J125" s="256" t="str"/>
      <c r="K125" s="256" t="str"/>
      <c r="L125" s="256" t="str"/>
      <c r="M125" s="256" t="str"/>
      <c r="N125" s="256" t="str"/>
      <c r="O125" s="256" t="str"/>
      <c r="P125" s="256" t="str"/>
      <c r="Q125" s="306" t="str"/>
    </row>
    <row r="126" ht="20" customHeight="1" s="48">
      <c r="A126" s="304" t="str"/>
      <c r="B126" s="256" t="str"/>
      <c r="C126" s="256" t="str"/>
      <c r="D126" s="256" t="str"/>
      <c r="E126" s="256" t="str"/>
      <c r="F126" s="256" t="str"/>
      <c r="G126" s="305" t="str"/>
      <c r="H126" s="305" t="str"/>
      <c r="I126" s="256" t="str"/>
      <c r="J126" s="256" t="str"/>
      <c r="K126" s="256" t="str"/>
      <c r="L126" s="256" t="str"/>
      <c r="M126" s="256" t="str"/>
      <c r="N126" s="256" t="str"/>
      <c r="O126" s="256" t="str"/>
      <c r="P126" s="256" t="str"/>
      <c r="Q126" s="306" t="str"/>
    </row>
    <row r="127" ht="20" customHeight="1" s="48">
      <c r="A127" s="304" t="str"/>
      <c r="B127" s="256" t="str"/>
      <c r="C127" s="256" t="str"/>
      <c r="D127" s="256" t="str"/>
      <c r="E127" s="256" t="str"/>
      <c r="F127" s="256" t="str"/>
      <c r="G127" s="305" t="str"/>
      <c r="H127" s="305" t="str"/>
      <c r="I127" s="256" t="str"/>
      <c r="J127" s="256" t="str"/>
      <c r="K127" s="256" t="str"/>
      <c r="L127" s="256" t="str"/>
      <c r="M127" s="256" t="str"/>
      <c r="N127" s="256" t="str"/>
      <c r="O127" s="256" t="str"/>
      <c r="P127" s="256" t="str"/>
      <c r="Q127" s="306" t="str"/>
    </row>
    <row r="128" ht="20" customHeight="1" s="48">
      <c r="A128" s="304" t="str"/>
      <c r="B128" s="256" t="str"/>
      <c r="C128" s="256" t="str"/>
      <c r="D128" s="256" t="str"/>
      <c r="E128" s="256" t="str"/>
      <c r="F128" s="256" t="str"/>
      <c r="G128" s="305" t="str"/>
      <c r="H128" s="305" t="str"/>
      <c r="I128" s="256" t="str"/>
      <c r="J128" s="256" t="str"/>
      <c r="K128" s="256" t="str"/>
      <c r="L128" s="256" t="str"/>
      <c r="M128" s="256" t="str"/>
      <c r="N128" s="256" t="str"/>
      <c r="O128" s="256" t="str"/>
      <c r="P128" s="256" t="str"/>
      <c r="Q128" s="306" t="str"/>
    </row>
    <row r="129" ht="20" customHeight="1" s="48">
      <c r="A129" s="304" t="str"/>
      <c r="B129" s="256" t="str"/>
      <c r="C129" s="256" t="str"/>
      <c r="D129" s="256" t="str"/>
      <c r="E129" s="256" t="str"/>
      <c r="F129" s="256" t="str"/>
      <c r="G129" s="305" t="str"/>
      <c r="H129" s="305" t="str"/>
      <c r="I129" s="256" t="str"/>
      <c r="J129" s="256" t="str"/>
      <c r="K129" s="256" t="str"/>
      <c r="L129" s="256" t="str"/>
      <c r="M129" s="256" t="str"/>
      <c r="N129" s="256" t="str"/>
      <c r="O129" s="256" t="str"/>
      <c r="P129" s="256" t="str"/>
      <c r="Q129" s="306" t="str"/>
    </row>
    <row r="130" ht="20" customHeight="1" s="48">
      <c r="A130" s="304" t="str"/>
      <c r="B130" s="256" t="str"/>
      <c r="C130" s="256" t="str"/>
      <c r="D130" s="256" t="str"/>
      <c r="E130" s="256" t="str"/>
      <c r="F130" s="256" t="str"/>
      <c r="G130" s="305" t="str"/>
      <c r="H130" s="305" t="str"/>
      <c r="I130" s="256" t="str"/>
      <c r="J130" s="256" t="str"/>
      <c r="K130" s="256" t="str"/>
      <c r="L130" s="256" t="str"/>
      <c r="M130" s="256" t="str"/>
      <c r="N130" s="256" t="str"/>
      <c r="O130" s="256" t="str"/>
      <c r="P130" s="256" t="str"/>
      <c r="Q130" s="306" t="str"/>
    </row>
    <row r="131" ht="20" customHeight="1" s="48">
      <c r="A131" s="304" t="str"/>
      <c r="B131" s="256" t="str"/>
      <c r="C131" s="256" t="str"/>
      <c r="D131" s="256" t="str"/>
      <c r="E131" s="256" t="str"/>
      <c r="F131" s="256" t="str"/>
      <c r="G131" s="305" t="str"/>
      <c r="H131" s="305" t="str"/>
      <c r="I131" s="256" t="str"/>
      <c r="J131" s="256" t="str"/>
      <c r="K131" s="256" t="str"/>
      <c r="L131" s="256" t="str"/>
      <c r="M131" s="256" t="str"/>
      <c r="N131" s="256" t="str"/>
      <c r="O131" s="256" t="str"/>
      <c r="P131" s="256" t="str"/>
      <c r="Q131" s="306" t="str"/>
    </row>
    <row r="132" ht="20" customHeight="1" s="48">
      <c r="A132" s="304" t="str"/>
      <c r="B132" s="256" t="str"/>
      <c r="C132" s="256" t="str"/>
      <c r="D132" s="256" t="str"/>
      <c r="E132" s="256" t="str"/>
      <c r="F132" s="256" t="str"/>
      <c r="G132" s="305" t="str"/>
      <c r="H132" s="305" t="str"/>
      <c r="I132" s="256" t="str"/>
      <c r="J132" s="256" t="str"/>
      <c r="K132" s="256" t="str"/>
      <c r="L132" s="256" t="str"/>
      <c r="M132" s="256" t="str"/>
      <c r="N132" s="256" t="str"/>
      <c r="O132" s="256" t="str"/>
      <c r="P132" s="256" t="str"/>
      <c r="Q132" s="306" t="str"/>
    </row>
    <row r="133" ht="20" customHeight="1" s="48">
      <c r="A133" s="304" t="str"/>
      <c r="B133" s="256" t="str"/>
      <c r="C133" s="256" t="str"/>
      <c r="D133" s="256" t="str"/>
      <c r="E133" s="256" t="str"/>
      <c r="F133" s="256" t="str"/>
      <c r="G133" s="305" t="str"/>
      <c r="H133" s="305" t="str"/>
      <c r="I133" s="256" t="str"/>
      <c r="J133" s="256" t="str"/>
      <c r="K133" s="256" t="str"/>
      <c r="L133" s="256" t="str"/>
      <c r="M133" s="256" t="str"/>
      <c r="N133" s="256" t="str"/>
      <c r="O133" s="256" t="str"/>
      <c r="P133" s="256" t="str"/>
      <c r="Q133" s="306" t="str"/>
    </row>
    <row r="134" ht="20" customHeight="1" s="48">
      <c r="A134" s="304" t="str"/>
      <c r="B134" s="256" t="str"/>
      <c r="C134" s="256" t="str"/>
      <c r="D134" s="256" t="str"/>
      <c r="E134" s="256" t="str"/>
      <c r="F134" s="256" t="str"/>
      <c r="G134" s="305" t="str"/>
      <c r="H134" s="305" t="str"/>
      <c r="I134" s="256" t="str"/>
      <c r="J134" s="256" t="str"/>
      <c r="K134" s="256" t="str"/>
      <c r="L134" s="256" t="str"/>
      <c r="M134" s="256" t="str"/>
      <c r="N134" s="256" t="str"/>
      <c r="O134" s="256" t="str"/>
      <c r="P134" s="256" t="str"/>
      <c r="Q134" s="306" t="str"/>
    </row>
    <row r="135" ht="20" customHeight="1" s="48">
      <c r="A135" s="304" t="str"/>
      <c r="B135" s="256" t="str"/>
      <c r="C135" s="256" t="str"/>
      <c r="D135" s="256" t="str"/>
      <c r="E135" s="256" t="str"/>
      <c r="F135" s="256" t="str"/>
      <c r="G135" s="305" t="str"/>
      <c r="H135" s="305" t="str"/>
      <c r="I135" s="256" t="str"/>
      <c r="J135" s="256" t="str"/>
      <c r="K135" s="256" t="str"/>
      <c r="L135" s="256" t="str"/>
      <c r="M135" s="256" t="str"/>
      <c r="N135" s="256" t="str"/>
      <c r="O135" s="256" t="str"/>
      <c r="P135" s="256" t="str"/>
      <c r="Q135" s="306" t="str"/>
    </row>
    <row r="136" ht="20" customHeight="1" s="48">
      <c r="A136" s="304" t="str"/>
      <c r="B136" s="256" t="str"/>
      <c r="C136" s="256" t="str"/>
      <c r="D136" s="256" t="str"/>
      <c r="E136" s="256" t="str"/>
      <c r="F136" s="256" t="str"/>
      <c r="G136" s="305" t="str"/>
      <c r="H136" s="305" t="str"/>
      <c r="I136" s="256" t="str"/>
      <c r="J136" s="256" t="str"/>
      <c r="K136" s="256" t="str"/>
      <c r="L136" s="256" t="str"/>
      <c r="M136" s="256" t="str"/>
      <c r="N136" s="256" t="str"/>
      <c r="O136" s="256" t="str"/>
      <c r="P136" s="256" t="str"/>
      <c r="Q136" s="306" t="str"/>
    </row>
    <row r="137" ht="20" customHeight="1" s="48">
      <c r="A137" s="304" t="str"/>
      <c r="B137" s="256" t="str"/>
      <c r="C137" s="256" t="str"/>
      <c r="D137" s="256" t="str"/>
      <c r="E137" s="256" t="str"/>
      <c r="F137" s="256" t="str"/>
      <c r="G137" s="305" t="str"/>
      <c r="H137" s="305" t="str"/>
      <c r="I137" s="256" t="str"/>
      <c r="J137" s="256" t="str"/>
      <c r="K137" s="256" t="str"/>
      <c r="L137" s="256" t="str"/>
      <c r="M137" s="256" t="str"/>
      <c r="N137" s="256" t="str"/>
      <c r="O137" s="256" t="str"/>
      <c r="P137" s="256" t="str"/>
      <c r="Q137" s="306" t="str"/>
    </row>
    <row r="138" ht="20" customHeight="1" s="48">
      <c r="A138" s="304" t="str"/>
      <c r="B138" s="256" t="str"/>
      <c r="C138" s="256" t="str"/>
      <c r="D138" s="256" t="str"/>
      <c r="E138" s="256" t="str"/>
      <c r="F138" s="256" t="str"/>
      <c r="G138" s="305" t="str"/>
      <c r="H138" s="305" t="str"/>
      <c r="I138" s="256" t="str"/>
      <c r="J138" s="256" t="str"/>
      <c r="K138" s="256" t="str"/>
      <c r="L138" s="256" t="str"/>
      <c r="M138" s="256" t="str"/>
      <c r="N138" s="256" t="str"/>
      <c r="O138" s="256" t="str"/>
      <c r="P138" s="256" t="str"/>
      <c r="Q138" s="306" t="str"/>
    </row>
    <row r="139" ht="20" customHeight="1" s="48">
      <c r="A139" s="304" t="str"/>
      <c r="B139" s="256" t="str"/>
      <c r="C139" s="256" t="str"/>
      <c r="D139" s="256" t="str"/>
      <c r="E139" s="256" t="str"/>
      <c r="F139" s="256" t="str"/>
      <c r="G139" s="305" t="str"/>
      <c r="H139" s="305" t="str"/>
      <c r="I139" s="256" t="str"/>
      <c r="J139" s="256" t="str"/>
      <c r="K139" s="256" t="str"/>
      <c r="L139" s="256" t="str"/>
      <c r="M139" s="256" t="str"/>
      <c r="N139" s="256" t="str"/>
      <c r="O139" s="256" t="str"/>
      <c r="P139" s="256" t="str"/>
      <c r="Q139" s="306" t="str"/>
    </row>
    <row r="140" ht="20" customHeight="1" s="48">
      <c r="A140" s="304" t="str"/>
      <c r="B140" s="256" t="str"/>
      <c r="C140" s="256" t="str"/>
      <c r="D140" s="256" t="str"/>
      <c r="E140" s="256" t="str"/>
      <c r="F140" s="256" t="str"/>
      <c r="G140" s="305" t="str"/>
      <c r="H140" s="305" t="str"/>
      <c r="I140" s="256" t="str"/>
      <c r="J140" s="256" t="str"/>
      <c r="K140" s="256" t="str"/>
      <c r="L140" s="256" t="str"/>
      <c r="M140" s="256" t="str"/>
      <c r="N140" s="256" t="str"/>
      <c r="O140" s="256" t="str"/>
      <c r="P140" s="256" t="str"/>
      <c r="Q140" s="306" t="str"/>
    </row>
    <row r="141" ht="20" customHeight="1" s="48">
      <c r="A141" s="304" t="str"/>
      <c r="B141" s="256" t="str"/>
      <c r="C141" s="256" t="str"/>
      <c r="D141" s="256" t="str"/>
      <c r="E141" s="256" t="str"/>
      <c r="F141" s="256" t="str"/>
      <c r="G141" s="305" t="str"/>
      <c r="H141" s="305" t="str"/>
      <c r="I141" s="256" t="str"/>
      <c r="J141" s="256" t="str"/>
      <c r="K141" s="256" t="str"/>
      <c r="L141" s="256" t="str"/>
      <c r="M141" s="256" t="str"/>
      <c r="N141" s="256" t="str"/>
      <c r="O141" s="256" t="str"/>
      <c r="P141" s="256" t="str"/>
      <c r="Q141" s="306" t="str"/>
    </row>
    <row r="142" ht="20" customHeight="1" s="48">
      <c r="A142" s="304" t="str"/>
      <c r="B142" s="256" t="str"/>
      <c r="C142" s="256" t="str"/>
      <c r="D142" s="256" t="str"/>
      <c r="E142" s="256" t="str"/>
      <c r="F142" s="256" t="str"/>
      <c r="G142" s="305" t="str"/>
      <c r="H142" s="305" t="str"/>
      <c r="I142" s="256" t="str"/>
      <c r="J142" s="256" t="str"/>
      <c r="K142" s="256" t="str"/>
      <c r="L142" s="256" t="str"/>
      <c r="M142" s="256" t="str"/>
      <c r="N142" s="256" t="str"/>
      <c r="O142" s="256" t="str"/>
      <c r="P142" s="256" t="str"/>
      <c r="Q142" s="306" t="str"/>
    </row>
    <row r="143" ht="20" customHeight="1" s="48">
      <c r="A143" s="304" t="str"/>
      <c r="B143" s="256" t="str"/>
      <c r="C143" s="256" t="str"/>
      <c r="D143" s="256" t="str"/>
      <c r="E143" s="256" t="str"/>
      <c r="F143" s="256" t="str"/>
      <c r="G143" s="305" t="str"/>
      <c r="H143" s="305" t="str"/>
      <c r="I143" s="256" t="str"/>
      <c r="J143" s="256" t="str"/>
      <c r="K143" s="256" t="str"/>
      <c r="L143" s="256" t="str"/>
      <c r="M143" s="256" t="str"/>
      <c r="N143" s="256" t="str"/>
      <c r="O143" s="256" t="str"/>
      <c r="P143" s="256" t="str"/>
      <c r="Q143" s="306" t="str"/>
    </row>
    <row r="144" ht="20" customHeight="1" s="48">
      <c r="A144" s="304" t="str"/>
      <c r="B144" s="256" t="str"/>
      <c r="C144" s="256" t="str"/>
      <c r="D144" s="256" t="str"/>
      <c r="E144" s="256" t="str"/>
      <c r="F144" s="256" t="str"/>
      <c r="G144" s="305" t="str"/>
      <c r="H144" s="305" t="str"/>
      <c r="I144" s="256" t="str"/>
      <c r="J144" s="256" t="str"/>
      <c r="K144" s="256" t="str"/>
      <c r="L144" s="256" t="str"/>
      <c r="M144" s="256" t="str"/>
      <c r="N144" s="256" t="str"/>
      <c r="O144" s="256" t="str"/>
      <c r="P144" s="256" t="str"/>
      <c r="Q144" s="306" t="str"/>
    </row>
    <row r="145" ht="20" customHeight="1" s="48">
      <c r="A145" s="304" t="str"/>
      <c r="B145" s="256" t="str"/>
      <c r="C145" s="256" t="str"/>
      <c r="D145" s="256" t="str"/>
      <c r="E145" s="256" t="str"/>
      <c r="F145" s="256" t="str"/>
      <c r="G145" s="305" t="str"/>
      <c r="H145" s="305" t="str"/>
      <c r="I145" s="256" t="str"/>
      <c r="J145" s="256" t="str"/>
      <c r="K145" s="256" t="str"/>
      <c r="L145" s="256" t="str"/>
      <c r="M145" s="256" t="str"/>
      <c r="N145" s="256" t="str"/>
      <c r="O145" s="256" t="str"/>
      <c r="P145" s="256" t="str"/>
      <c r="Q145" s="306" t="str"/>
    </row>
    <row r="146" ht="20" customHeight="1" s="48">
      <c r="A146" s="304" t="str"/>
      <c r="B146" s="256" t="str"/>
      <c r="C146" s="256" t="str"/>
      <c r="D146" s="256" t="str"/>
      <c r="E146" s="256" t="str"/>
      <c r="F146" s="256" t="str"/>
      <c r="G146" s="305" t="str"/>
      <c r="H146" s="305" t="str"/>
      <c r="I146" s="256" t="str"/>
      <c r="J146" s="256" t="str"/>
      <c r="K146" s="256" t="str"/>
      <c r="L146" s="256" t="str"/>
      <c r="M146" s="256" t="str"/>
      <c r="N146" s="256" t="str"/>
      <c r="O146" s="256" t="str"/>
      <c r="P146" s="256" t="str"/>
      <c r="Q146" s="306" t="str"/>
    </row>
    <row r="147" ht="20" customHeight="1" s="48">
      <c r="A147" s="304" t="str"/>
      <c r="B147" s="256" t="str"/>
      <c r="C147" s="256" t="str"/>
      <c r="D147" s="256" t="str"/>
      <c r="E147" s="256" t="str"/>
      <c r="F147" s="256" t="str"/>
      <c r="G147" s="305" t="str"/>
      <c r="H147" s="305" t="str"/>
      <c r="I147" s="256" t="str"/>
      <c r="J147" s="256" t="str"/>
      <c r="K147" s="256" t="str"/>
      <c r="L147" s="256" t="str"/>
      <c r="M147" s="256" t="str"/>
      <c r="N147" s="256" t="str"/>
      <c r="O147" s="256" t="str"/>
      <c r="P147" s="256" t="str"/>
      <c r="Q147" s="306" t="str"/>
    </row>
    <row r="148" ht="20" customHeight="1" s="48">
      <c r="A148" s="304" t="str"/>
      <c r="B148" s="256" t="str"/>
      <c r="C148" s="256" t="str"/>
      <c r="D148" s="256" t="str"/>
      <c r="E148" s="256" t="str"/>
      <c r="F148" s="256" t="str"/>
      <c r="G148" s="305" t="str"/>
      <c r="H148" s="305" t="str"/>
      <c r="I148" s="256" t="str"/>
      <c r="J148" s="256" t="str"/>
      <c r="K148" s="256" t="str"/>
      <c r="L148" s="256" t="str"/>
      <c r="M148" s="256" t="str"/>
      <c r="N148" s="256" t="str"/>
      <c r="O148" s="256" t="str"/>
      <c r="P148" s="256" t="str"/>
      <c r="Q148" s="306" t="str"/>
    </row>
    <row r="149" ht="20" customHeight="1" s="48">
      <c r="A149" s="304" t="str"/>
      <c r="B149" s="256" t="str"/>
      <c r="C149" s="256" t="str"/>
      <c r="D149" s="256" t="str"/>
      <c r="E149" s="256" t="str"/>
      <c r="F149" s="256" t="str"/>
      <c r="G149" s="305" t="str"/>
      <c r="H149" s="305" t="str"/>
      <c r="I149" s="256" t="str"/>
      <c r="J149" s="256" t="str"/>
      <c r="K149" s="256" t="str"/>
      <c r="L149" s="256" t="str"/>
      <c r="M149" s="256" t="str"/>
      <c r="N149" s="256" t="str"/>
      <c r="O149" s="256" t="str"/>
      <c r="P149" s="256" t="str"/>
      <c r="Q149" s="306" t="str"/>
    </row>
    <row r="150" ht="20" customHeight="1" s="48">
      <c r="A150" s="304" t="str"/>
      <c r="B150" s="256" t="str"/>
      <c r="C150" s="256" t="str"/>
      <c r="D150" s="256" t="str"/>
      <c r="E150" s="256" t="str"/>
      <c r="F150" s="256" t="str"/>
      <c r="G150" s="305" t="str"/>
      <c r="H150" s="305" t="str"/>
      <c r="I150" s="256" t="str"/>
      <c r="J150" s="256" t="str"/>
      <c r="K150" s="256" t="str"/>
      <c r="L150" s="256" t="str"/>
      <c r="M150" s="256" t="str"/>
      <c r="N150" s="256" t="str"/>
      <c r="O150" s="256" t="str"/>
      <c r="P150" s="256" t="str"/>
      <c r="Q150" s="306" t="str"/>
    </row>
    <row r="151" ht="20" customHeight="1" s="48">
      <c r="A151" s="304" t="str"/>
      <c r="B151" s="256" t="str"/>
      <c r="C151" s="256" t="str"/>
      <c r="D151" s="256" t="str"/>
      <c r="E151" s="256" t="str"/>
      <c r="F151" s="256" t="str"/>
      <c r="G151" s="305" t="str"/>
      <c r="H151" s="305" t="str"/>
      <c r="I151" s="256" t="str"/>
      <c r="J151" s="256" t="str"/>
      <c r="K151" s="256" t="str"/>
      <c r="L151" s="256" t="str"/>
      <c r="M151" s="256" t="str"/>
      <c r="N151" s="256" t="str"/>
      <c r="O151" s="256" t="str"/>
      <c r="P151" s="256" t="str"/>
      <c r="Q151" s="306" t="str"/>
    </row>
    <row r="152" ht="20" customHeight="1" s="48">
      <c r="A152" s="304" t="str"/>
      <c r="B152" s="256" t="str"/>
      <c r="C152" s="256" t="str"/>
      <c r="D152" s="256" t="str"/>
      <c r="E152" s="256" t="str"/>
      <c r="F152" s="256" t="str"/>
      <c r="G152" s="305" t="str"/>
      <c r="H152" s="305" t="str"/>
      <c r="I152" s="256" t="str"/>
      <c r="J152" s="256" t="str"/>
      <c r="K152" s="256" t="str"/>
      <c r="L152" s="256" t="str"/>
      <c r="M152" s="256" t="str"/>
      <c r="N152" s="256" t="str"/>
      <c r="O152" s="256" t="str"/>
      <c r="P152" s="256" t="str"/>
      <c r="Q152" s="306" t="str"/>
    </row>
    <row r="153" ht="20" customHeight="1" s="48">
      <c r="A153" s="304" t="str"/>
      <c r="B153" s="256" t="str"/>
      <c r="C153" s="256" t="str"/>
      <c r="D153" s="256" t="str"/>
      <c r="E153" s="256" t="str"/>
      <c r="F153" s="256" t="str"/>
      <c r="G153" s="305" t="str"/>
      <c r="H153" s="305" t="str"/>
      <c r="I153" s="256" t="str"/>
      <c r="J153" s="256" t="str"/>
      <c r="K153" s="256" t="str"/>
      <c r="L153" s="256" t="str"/>
      <c r="M153" s="256" t="str"/>
      <c r="N153" s="256" t="str"/>
      <c r="O153" s="256" t="str"/>
      <c r="P153" s="256" t="str"/>
      <c r="Q153" s="306" t="str"/>
    </row>
    <row r="154" ht="20" customHeight="1" s="48">
      <c r="A154" s="304" t="str"/>
      <c r="B154" s="256" t="str"/>
      <c r="C154" s="256" t="str"/>
      <c r="D154" s="256" t="str"/>
      <c r="E154" s="256" t="str"/>
      <c r="F154" s="256" t="str"/>
      <c r="G154" s="305" t="str"/>
      <c r="H154" s="305" t="str"/>
      <c r="I154" s="256" t="str"/>
      <c r="J154" s="256" t="str"/>
      <c r="K154" s="256" t="str"/>
      <c r="L154" s="256" t="str"/>
      <c r="M154" s="256" t="str"/>
      <c r="N154" s="256" t="str"/>
      <c r="O154" s="256" t="str"/>
      <c r="P154" s="256" t="str"/>
      <c r="Q154" s="306" t="str"/>
    </row>
    <row r="155" ht="20" customHeight="1" s="48">
      <c r="A155" s="304" t="str"/>
      <c r="B155" s="256" t="str"/>
      <c r="C155" s="256" t="str"/>
      <c r="D155" s="256" t="str"/>
      <c r="E155" s="256" t="str"/>
      <c r="F155" s="256" t="str"/>
      <c r="G155" s="305" t="str"/>
      <c r="H155" s="305" t="str"/>
      <c r="I155" s="256" t="str"/>
      <c r="J155" s="256" t="str"/>
      <c r="K155" s="256" t="str"/>
      <c r="L155" s="256" t="str"/>
      <c r="M155" s="256" t="str"/>
      <c r="N155" s="256" t="str"/>
      <c r="O155" s="256" t="str"/>
      <c r="P155" s="256" t="str"/>
      <c r="Q155" s="306" t="str"/>
    </row>
    <row r="156" ht="20" customHeight="1" s="48">
      <c r="A156" s="304" t="str"/>
      <c r="B156" s="256" t="str"/>
      <c r="C156" s="256" t="str"/>
      <c r="D156" s="256" t="str"/>
      <c r="E156" s="256" t="str"/>
      <c r="F156" s="256" t="str"/>
      <c r="G156" s="305" t="str"/>
      <c r="H156" s="305" t="str"/>
      <c r="I156" s="256" t="str"/>
      <c r="J156" s="256" t="str"/>
      <c r="K156" s="256" t="str"/>
      <c r="L156" s="256" t="str"/>
      <c r="M156" s="256" t="str"/>
      <c r="N156" s="256" t="str"/>
      <c r="O156" s="256" t="str"/>
      <c r="P156" s="256" t="str"/>
      <c r="Q156" s="306" t="str"/>
    </row>
    <row r="157" ht="20" customHeight="1" s="48">
      <c r="A157" s="304" t="str"/>
      <c r="B157" s="256" t="str"/>
      <c r="C157" s="256" t="str"/>
      <c r="D157" s="256" t="str"/>
      <c r="E157" s="256" t="str"/>
      <c r="F157" s="256" t="str"/>
      <c r="G157" s="305" t="str"/>
      <c r="H157" s="305" t="str"/>
      <c r="I157" s="256" t="str"/>
      <c r="J157" s="256" t="str"/>
      <c r="K157" s="256" t="str"/>
      <c r="L157" s="256" t="str"/>
      <c r="M157" s="256" t="str"/>
      <c r="N157" s="256" t="str"/>
      <c r="O157" s="256" t="str"/>
      <c r="P157" s="256" t="str"/>
      <c r="Q157" s="306" t="str"/>
    </row>
    <row r="158" ht="20" customHeight="1" s="48">
      <c r="A158" s="304" t="str"/>
      <c r="B158" s="256" t="str"/>
      <c r="C158" s="256" t="str"/>
      <c r="D158" s="256" t="str"/>
      <c r="E158" s="256" t="str"/>
      <c r="F158" s="256" t="str"/>
      <c r="G158" s="305" t="str"/>
      <c r="H158" s="305" t="str"/>
      <c r="I158" s="256" t="str"/>
      <c r="J158" s="256" t="str"/>
      <c r="K158" s="256" t="str"/>
      <c r="L158" s="256" t="str"/>
      <c r="M158" s="256" t="str"/>
      <c r="N158" s="256" t="str"/>
      <c r="O158" s="256" t="str"/>
      <c r="P158" s="256" t="str"/>
      <c r="Q158" s="306" t="str"/>
    </row>
    <row r="159" ht="20" customHeight="1" s="48">
      <c r="A159" s="304" t="str"/>
      <c r="B159" s="256" t="str"/>
      <c r="C159" s="256" t="str"/>
      <c r="D159" s="256" t="str"/>
      <c r="E159" s="256" t="str"/>
      <c r="F159" s="256" t="str"/>
      <c r="G159" s="305" t="str"/>
      <c r="H159" s="305" t="str"/>
      <c r="I159" s="256" t="str"/>
      <c r="J159" s="256" t="str"/>
      <c r="K159" s="256" t="str"/>
      <c r="L159" s="256" t="str"/>
      <c r="M159" s="256" t="str"/>
      <c r="N159" s="256" t="str"/>
      <c r="O159" s="256" t="str"/>
      <c r="P159" s="256" t="str"/>
      <c r="Q159" s="306" t="str"/>
    </row>
    <row r="160" ht="20" customHeight="1" s="48">
      <c r="A160" s="304" t="str"/>
      <c r="B160" s="256" t="str"/>
      <c r="C160" s="256" t="str"/>
      <c r="D160" s="256" t="str"/>
      <c r="E160" s="256" t="str"/>
      <c r="F160" s="256" t="str"/>
      <c r="G160" s="305" t="str"/>
      <c r="H160" s="305" t="str"/>
      <c r="I160" s="256" t="str"/>
      <c r="J160" s="256" t="str"/>
      <c r="K160" s="256" t="str"/>
      <c r="L160" s="256" t="str"/>
      <c r="M160" s="256" t="str"/>
      <c r="N160" s="256" t="str"/>
      <c r="O160" s="256" t="str"/>
      <c r="P160" s="256" t="str"/>
      <c r="Q160" s="306" t="str"/>
    </row>
    <row r="161" ht="20" customHeight="1" s="48">
      <c r="A161" s="304" t="str"/>
      <c r="B161" s="256" t="str"/>
      <c r="C161" s="256" t="str"/>
      <c r="D161" s="256" t="str"/>
      <c r="E161" s="256" t="str"/>
      <c r="F161" s="256" t="str"/>
      <c r="G161" s="305" t="str"/>
      <c r="H161" s="305" t="str"/>
      <c r="I161" s="256" t="str"/>
      <c r="J161" s="256" t="str"/>
      <c r="K161" s="256" t="str"/>
      <c r="L161" s="256" t="str"/>
      <c r="M161" s="256" t="str"/>
      <c r="N161" s="256" t="str"/>
      <c r="O161" s="256" t="str"/>
      <c r="P161" s="256" t="str"/>
      <c r="Q161" s="306" t="str"/>
    </row>
    <row r="162" ht="20" customHeight="1" s="48">
      <c r="A162" s="304" t="str"/>
      <c r="B162" s="256" t="str"/>
      <c r="C162" s="256" t="str"/>
      <c r="D162" s="256" t="str"/>
      <c r="E162" s="256" t="str"/>
      <c r="F162" s="256" t="str"/>
      <c r="G162" s="305" t="str"/>
      <c r="H162" s="305" t="str"/>
      <c r="I162" s="256" t="str"/>
      <c r="J162" s="256" t="str"/>
      <c r="K162" s="256" t="str"/>
      <c r="L162" s="256" t="str"/>
      <c r="M162" s="256" t="str"/>
      <c r="N162" s="256" t="str"/>
      <c r="O162" s="256" t="str"/>
      <c r="P162" s="256" t="str"/>
      <c r="Q162" s="306" t="str"/>
    </row>
    <row r="163" ht="20" customHeight="1" s="48">
      <c r="A163" s="304" t="str"/>
      <c r="B163" s="256" t="str"/>
      <c r="C163" s="256" t="str"/>
      <c r="D163" s="256" t="str"/>
      <c r="E163" s="256" t="str"/>
      <c r="F163" s="256" t="str"/>
      <c r="G163" s="305" t="str"/>
      <c r="H163" s="305" t="str"/>
      <c r="I163" s="256" t="str"/>
      <c r="J163" s="256" t="str"/>
      <c r="K163" s="256" t="str"/>
      <c r="L163" s="256" t="str"/>
      <c r="M163" s="256" t="str"/>
      <c r="N163" s="256" t="str"/>
      <c r="O163" s="256" t="str"/>
      <c r="P163" s="256" t="str"/>
      <c r="Q163" s="306" t="str"/>
    </row>
    <row r="164" ht="20" customHeight="1" s="48">
      <c r="A164" s="304" t="str"/>
      <c r="B164" s="256" t="str"/>
      <c r="C164" s="256" t="str"/>
      <c r="D164" s="256" t="str"/>
      <c r="E164" s="256" t="str"/>
      <c r="F164" s="256" t="str"/>
      <c r="G164" s="305" t="str"/>
      <c r="H164" s="305" t="str"/>
      <c r="I164" s="256" t="str"/>
      <c r="J164" s="256" t="str"/>
      <c r="K164" s="256" t="str"/>
      <c r="L164" s="256" t="str"/>
      <c r="M164" s="256" t="str"/>
      <c r="N164" s="256" t="str"/>
      <c r="O164" s="256" t="str"/>
      <c r="P164" s="256" t="str"/>
      <c r="Q164" s="306" t="str"/>
    </row>
    <row r="165" ht="20" customHeight="1" s="48">
      <c r="A165" s="304" t="str"/>
      <c r="B165" s="256" t="str"/>
      <c r="C165" s="256" t="str"/>
      <c r="D165" s="256" t="str"/>
      <c r="E165" s="256" t="str"/>
      <c r="F165" s="256" t="str"/>
      <c r="G165" s="305" t="str"/>
      <c r="H165" s="305" t="str"/>
      <c r="I165" s="256" t="str"/>
      <c r="J165" s="256" t="str"/>
      <c r="K165" s="256" t="str"/>
      <c r="L165" s="256" t="str"/>
      <c r="M165" s="256" t="str"/>
      <c r="N165" s="256" t="str"/>
      <c r="O165" s="256" t="str"/>
      <c r="P165" s="256" t="str"/>
      <c r="Q165" s="306" t="str"/>
    </row>
    <row r="166" ht="20" customHeight="1" s="48">
      <c r="A166" s="304" t="str"/>
      <c r="B166" s="256" t="str"/>
      <c r="C166" s="256" t="str"/>
      <c r="D166" s="256" t="str"/>
      <c r="E166" s="256" t="str"/>
      <c r="F166" s="256" t="str"/>
      <c r="G166" s="305" t="str"/>
      <c r="H166" s="305" t="str"/>
      <c r="I166" s="256" t="str"/>
      <c r="J166" s="256" t="str"/>
      <c r="K166" s="256" t="str"/>
      <c r="L166" s="256" t="str"/>
      <c r="M166" s="256" t="str"/>
      <c r="N166" s="256" t="str"/>
      <c r="O166" s="256" t="str"/>
      <c r="P166" s="256" t="str"/>
      <c r="Q166" s="306" t="str"/>
    </row>
    <row r="167" ht="20" customHeight="1" s="48">
      <c r="A167" s="304" t="str"/>
      <c r="B167" s="256" t="str"/>
      <c r="C167" s="256" t="str"/>
      <c r="D167" s="256" t="str"/>
      <c r="E167" s="256" t="str"/>
      <c r="F167" s="256" t="str"/>
      <c r="G167" s="305" t="str"/>
      <c r="H167" s="305" t="str"/>
      <c r="I167" s="256" t="str"/>
      <c r="J167" s="256" t="str"/>
      <c r="K167" s="256" t="str"/>
      <c r="L167" s="256" t="str"/>
      <c r="M167" s="256" t="str"/>
      <c r="N167" s="256" t="str"/>
      <c r="O167" s="256" t="str"/>
      <c r="P167" s="256" t="str"/>
      <c r="Q167" s="306" t="str"/>
    </row>
    <row r="168" ht="20" customHeight="1" s="48">
      <c r="A168" s="304" t="str"/>
      <c r="B168" s="256" t="str"/>
      <c r="C168" s="256" t="str"/>
      <c r="D168" s="256" t="str"/>
      <c r="E168" s="256" t="str"/>
      <c r="F168" s="256" t="str"/>
      <c r="G168" s="305" t="str"/>
      <c r="H168" s="305" t="str"/>
      <c r="I168" s="256" t="str"/>
      <c r="J168" s="256" t="str"/>
      <c r="K168" s="256" t="str"/>
      <c r="L168" s="256" t="str"/>
      <c r="M168" s="256" t="str"/>
      <c r="N168" s="256" t="str"/>
      <c r="O168" s="256" t="str"/>
      <c r="P168" s="256" t="str"/>
      <c r="Q168" s="306" t="str"/>
    </row>
    <row r="169" ht="20" customHeight="1" s="48">
      <c r="A169" s="304" t="str"/>
      <c r="B169" s="256" t="str"/>
      <c r="C169" s="256" t="str"/>
      <c r="D169" s="256" t="str"/>
      <c r="E169" s="256" t="str"/>
      <c r="F169" s="256" t="str"/>
      <c r="G169" s="305" t="str"/>
      <c r="H169" s="305" t="str"/>
      <c r="I169" s="256" t="str"/>
      <c r="J169" s="256" t="str"/>
      <c r="K169" s="256" t="str"/>
      <c r="L169" s="256" t="str"/>
      <c r="M169" s="256" t="str"/>
      <c r="N169" s="256" t="str"/>
      <c r="O169" s="256" t="str"/>
      <c r="P169" s="256" t="str"/>
      <c r="Q169" s="306" t="str"/>
    </row>
    <row r="170" ht="20" customHeight="1" s="48">
      <c r="A170" s="304" t="str"/>
      <c r="B170" s="256" t="str"/>
      <c r="C170" s="256" t="str"/>
      <c r="D170" s="256" t="str"/>
      <c r="E170" s="256" t="str"/>
      <c r="F170" s="256" t="str"/>
      <c r="G170" s="305" t="str"/>
      <c r="H170" s="305" t="str"/>
      <c r="I170" s="256" t="str"/>
      <c r="J170" s="256" t="str"/>
      <c r="K170" s="256" t="str"/>
      <c r="L170" s="256" t="str"/>
      <c r="M170" s="256" t="str"/>
      <c r="N170" s="256" t="str"/>
      <c r="O170" s="256" t="str"/>
      <c r="P170" s="256" t="str"/>
      <c r="Q170" s="306" t="str"/>
    </row>
    <row r="171" ht="20" customHeight="1" s="48">
      <c r="A171" s="304" t="str"/>
      <c r="B171" s="256" t="str"/>
      <c r="C171" s="256" t="str"/>
      <c r="D171" s="256" t="str"/>
      <c r="E171" s="256" t="str"/>
      <c r="F171" s="256" t="str"/>
      <c r="G171" s="305" t="str"/>
      <c r="H171" s="305" t="str"/>
      <c r="I171" s="256" t="str"/>
      <c r="J171" s="256" t="str"/>
      <c r="K171" s="256" t="str"/>
      <c r="L171" s="256" t="str"/>
      <c r="M171" s="256" t="str"/>
      <c r="N171" s="256" t="str"/>
      <c r="O171" s="256" t="str"/>
      <c r="P171" s="256" t="str"/>
      <c r="Q171" s="306" t="str"/>
    </row>
    <row r="172" ht="20" customHeight="1" s="48">
      <c r="A172" s="304" t="str"/>
      <c r="B172" s="256" t="str"/>
      <c r="C172" s="256" t="str"/>
      <c r="D172" s="256" t="str"/>
      <c r="E172" s="256" t="str"/>
      <c r="F172" s="256" t="str"/>
      <c r="G172" s="305" t="str"/>
      <c r="H172" s="305" t="str"/>
      <c r="I172" s="256" t="str"/>
      <c r="J172" s="256" t="str"/>
      <c r="K172" s="256" t="str"/>
      <c r="L172" s="256" t="str"/>
      <c r="M172" s="256" t="str"/>
      <c r="N172" s="256" t="str"/>
      <c r="O172" s="256" t="str"/>
      <c r="P172" s="256" t="str"/>
      <c r="Q172" s="306" t="str"/>
    </row>
    <row r="173" ht="20" customHeight="1" s="48">
      <c r="A173" s="304" t="str"/>
      <c r="B173" s="256" t="str"/>
      <c r="C173" s="256" t="str"/>
      <c r="D173" s="256" t="str"/>
      <c r="E173" s="256" t="str"/>
      <c r="F173" s="256" t="str"/>
      <c r="G173" s="305" t="str"/>
      <c r="H173" s="305" t="str"/>
      <c r="I173" s="256" t="str"/>
      <c r="J173" s="256" t="str"/>
      <c r="K173" s="256" t="str"/>
      <c r="L173" s="256" t="str"/>
      <c r="M173" s="256" t="str"/>
      <c r="N173" s="256" t="str"/>
      <c r="O173" s="256" t="str"/>
      <c r="P173" s="256" t="str"/>
      <c r="Q173" s="306" t="str"/>
    </row>
    <row r="174" ht="20" customHeight="1" s="48">
      <c r="A174" s="304" t="str"/>
      <c r="B174" s="256" t="str"/>
      <c r="C174" s="256" t="str"/>
      <c r="D174" s="256" t="str"/>
      <c r="E174" s="256" t="str"/>
      <c r="F174" s="256" t="str"/>
      <c r="G174" s="305" t="str"/>
      <c r="H174" s="305" t="str"/>
      <c r="I174" s="256" t="str"/>
      <c r="J174" s="256" t="str"/>
      <c r="K174" s="256" t="str"/>
      <c r="L174" s="256" t="str"/>
      <c r="M174" s="256" t="str"/>
      <c r="N174" s="256" t="str"/>
      <c r="O174" s="256" t="str"/>
      <c r="P174" s="256" t="str"/>
      <c r="Q174" s="306" t="str"/>
    </row>
    <row r="175" ht="20" customHeight="1" s="48">
      <c r="A175" s="304" t="str"/>
      <c r="B175" s="256" t="str"/>
      <c r="C175" s="256" t="str"/>
      <c r="D175" s="256" t="str"/>
      <c r="E175" s="256" t="str"/>
      <c r="F175" s="256" t="str"/>
      <c r="G175" s="305" t="str"/>
      <c r="H175" s="305" t="str"/>
      <c r="I175" s="256" t="str"/>
      <c r="J175" s="256" t="str"/>
      <c r="K175" s="256" t="str"/>
      <c r="L175" s="256" t="str"/>
      <c r="M175" s="256" t="str"/>
      <c r="N175" s="256" t="str"/>
      <c r="O175" s="256" t="str"/>
      <c r="P175" s="256" t="str"/>
      <c r="Q175" s="306" t="str"/>
    </row>
    <row r="176" ht="20" customHeight="1" s="48">
      <c r="A176" s="304" t="str"/>
      <c r="B176" s="256" t="str"/>
      <c r="C176" s="256" t="str"/>
      <c r="D176" s="256" t="str"/>
      <c r="E176" s="256" t="str"/>
      <c r="F176" s="256" t="str"/>
      <c r="G176" s="305" t="str"/>
      <c r="H176" s="305" t="str"/>
      <c r="I176" s="256" t="str"/>
      <c r="J176" s="256" t="str"/>
      <c r="K176" s="256" t="str"/>
      <c r="L176" s="256" t="str"/>
      <c r="M176" s="256" t="str"/>
      <c r="N176" s="256" t="str"/>
      <c r="O176" s="256" t="str"/>
      <c r="P176" s="256" t="str"/>
      <c r="Q176" s="306" t="str"/>
    </row>
    <row r="177" ht="20" customHeight="1" s="48">
      <c r="A177" s="304" t="str"/>
      <c r="B177" s="256" t="str"/>
      <c r="C177" s="256" t="str"/>
      <c r="D177" s="256" t="str"/>
      <c r="E177" s="256" t="str"/>
      <c r="F177" s="256" t="str"/>
      <c r="G177" s="305" t="str"/>
      <c r="H177" s="305" t="str"/>
      <c r="I177" s="256" t="str"/>
      <c r="J177" s="256" t="str"/>
      <c r="K177" s="256" t="str"/>
      <c r="L177" s="256" t="str"/>
      <c r="M177" s="256" t="str"/>
      <c r="N177" s="256" t="str"/>
      <c r="O177" s="256" t="str"/>
      <c r="P177" s="256" t="str"/>
      <c r="Q177" s="306" t="str"/>
    </row>
    <row r="178" ht="20" customHeight="1" s="48">
      <c r="A178" s="304" t="str"/>
      <c r="B178" s="256" t="str"/>
      <c r="C178" s="256" t="str"/>
      <c r="D178" s="256" t="str"/>
      <c r="E178" s="256" t="str"/>
      <c r="F178" s="256" t="str"/>
      <c r="G178" s="305" t="str"/>
      <c r="H178" s="305" t="str"/>
      <c r="I178" s="256" t="str"/>
      <c r="J178" s="256" t="str"/>
      <c r="K178" s="256" t="str"/>
      <c r="L178" s="256" t="str"/>
      <c r="M178" s="256" t="str"/>
      <c r="N178" s="256" t="str"/>
      <c r="O178" s="256" t="str"/>
      <c r="P178" s="256" t="str"/>
      <c r="Q178" s="306" t="str"/>
    </row>
    <row r="179" ht="20" customHeight="1" s="48">
      <c r="A179" s="304" t="str"/>
      <c r="B179" s="256" t="str"/>
      <c r="C179" s="256" t="str"/>
      <c r="D179" s="256" t="str"/>
      <c r="E179" s="256" t="str"/>
      <c r="F179" s="256" t="str"/>
      <c r="G179" s="305" t="str"/>
      <c r="H179" s="305" t="str"/>
      <c r="I179" s="256" t="str"/>
      <c r="J179" s="256" t="str"/>
      <c r="K179" s="256" t="str"/>
      <c r="L179" s="256" t="str"/>
      <c r="M179" s="256" t="str"/>
      <c r="N179" s="256" t="str"/>
      <c r="O179" s="256" t="str"/>
      <c r="P179" s="256" t="str"/>
      <c r="Q179" s="306" t="str"/>
    </row>
    <row r="180" ht="20" customHeight="1" s="48">
      <c r="A180" s="304" t="str"/>
      <c r="B180" s="256" t="str"/>
      <c r="C180" s="256" t="str"/>
      <c r="D180" s="256" t="str"/>
      <c r="E180" s="256" t="str"/>
      <c r="F180" s="256" t="str"/>
      <c r="G180" s="305" t="str"/>
      <c r="H180" s="305" t="str"/>
      <c r="I180" s="256" t="str"/>
      <c r="J180" s="256" t="str"/>
      <c r="K180" s="256" t="str"/>
      <c r="L180" s="256" t="str"/>
      <c r="M180" s="256" t="str"/>
      <c r="N180" s="256" t="str"/>
      <c r="O180" s="256" t="str"/>
      <c r="P180" s="256" t="str"/>
      <c r="Q180" s="306" t="str"/>
    </row>
    <row r="181" ht="20" customHeight="1" s="48">
      <c r="A181" s="304" t="str"/>
      <c r="B181" s="256" t="str"/>
      <c r="C181" s="256" t="str"/>
      <c r="D181" s="256" t="str"/>
      <c r="E181" s="256" t="str"/>
      <c r="F181" s="256" t="str"/>
      <c r="G181" s="305" t="str"/>
      <c r="H181" s="305" t="str"/>
      <c r="I181" s="256" t="str"/>
      <c r="J181" s="256" t="str"/>
      <c r="K181" s="256" t="str"/>
      <c r="L181" s="256" t="str"/>
      <c r="M181" s="256" t="str"/>
      <c r="N181" s="256" t="str"/>
      <c r="O181" s="256" t="str"/>
      <c r="P181" s="256" t="str"/>
      <c r="Q181" s="306" t="str"/>
    </row>
    <row r="182" ht="20" customHeight="1" s="48">
      <c r="A182" s="304" t="str"/>
      <c r="B182" s="256" t="str"/>
      <c r="C182" s="256" t="str"/>
      <c r="D182" s="256" t="str"/>
      <c r="E182" s="256" t="str"/>
      <c r="F182" s="256" t="str"/>
      <c r="G182" s="305" t="str"/>
      <c r="H182" s="305" t="str"/>
      <c r="I182" s="256" t="str"/>
      <c r="J182" s="256" t="str"/>
      <c r="K182" s="256" t="str"/>
      <c r="L182" s="256" t="str"/>
      <c r="M182" s="256" t="str"/>
      <c r="N182" s="256" t="str"/>
      <c r="O182" s="256" t="str"/>
      <c r="P182" s="256" t="str"/>
      <c r="Q182" s="306" t="str"/>
    </row>
    <row r="183" ht="20" customHeight="1" s="48">
      <c r="A183" s="304" t="str"/>
      <c r="B183" s="256" t="str"/>
      <c r="C183" s="256" t="str"/>
      <c r="D183" s="256" t="str"/>
      <c r="E183" s="256" t="str"/>
      <c r="F183" s="256" t="str"/>
      <c r="G183" s="305" t="str"/>
      <c r="H183" s="305" t="str"/>
      <c r="I183" s="256" t="str"/>
      <c r="J183" s="256" t="str"/>
      <c r="K183" s="256" t="str"/>
      <c r="L183" s="256" t="str"/>
      <c r="M183" s="256" t="str"/>
      <c r="N183" s="256" t="str"/>
      <c r="O183" s="256" t="str"/>
      <c r="P183" s="256" t="str"/>
      <c r="Q183" s="306" t="str"/>
    </row>
    <row r="184" ht="20" customHeight="1" s="48">
      <c r="A184" s="304" t="str"/>
      <c r="B184" s="256" t="str"/>
      <c r="C184" s="256" t="str"/>
      <c r="D184" s="256" t="str"/>
      <c r="E184" s="256" t="str"/>
      <c r="F184" s="256" t="str"/>
      <c r="G184" s="305" t="str"/>
      <c r="H184" s="305" t="str"/>
      <c r="I184" s="256" t="str"/>
      <c r="J184" s="256" t="str"/>
      <c r="K184" s="256" t="str"/>
      <c r="L184" s="256" t="str"/>
      <c r="M184" s="256" t="str"/>
      <c r="N184" s="256" t="str"/>
      <c r="O184" s="256" t="str"/>
      <c r="P184" s="256" t="str"/>
      <c r="Q184" s="306" t="str"/>
    </row>
    <row r="185" ht="20" customHeight="1" s="48">
      <c r="A185" s="304" t="str"/>
      <c r="B185" s="256" t="str"/>
      <c r="C185" s="256" t="str"/>
      <c r="D185" s="256" t="str"/>
      <c r="E185" s="256" t="str"/>
      <c r="F185" s="256" t="str"/>
      <c r="G185" s="305" t="str"/>
      <c r="H185" s="305" t="str"/>
      <c r="I185" s="256" t="str"/>
      <c r="J185" s="256" t="str"/>
      <c r="K185" s="256" t="str"/>
      <c r="L185" s="256" t="str"/>
      <c r="M185" s="256" t="str"/>
      <c r="N185" s="256" t="str"/>
      <c r="O185" s="256" t="str"/>
      <c r="P185" s="256" t="str"/>
      <c r="Q185" s="306" t="str"/>
    </row>
    <row r="186" ht="20" customHeight="1" s="48">
      <c r="A186" s="304" t="str"/>
      <c r="B186" s="256" t="str"/>
      <c r="C186" s="256" t="str"/>
      <c r="D186" s="256" t="str"/>
      <c r="E186" s="256" t="str"/>
      <c r="F186" s="256" t="str"/>
      <c r="G186" s="305" t="str"/>
      <c r="H186" s="305" t="str"/>
      <c r="I186" s="256" t="str"/>
      <c r="J186" s="256" t="str"/>
      <c r="K186" s="256" t="str"/>
      <c r="L186" s="256" t="str"/>
      <c r="M186" s="256" t="str"/>
      <c r="N186" s="256" t="str"/>
      <c r="O186" s="256" t="str"/>
      <c r="P186" s="256" t="str"/>
      <c r="Q186" s="306" t="str"/>
    </row>
    <row r="187" ht="20" customHeight="1" s="48">
      <c r="A187" s="304" t="str"/>
      <c r="B187" s="256" t="str"/>
      <c r="C187" s="256" t="str"/>
      <c r="D187" s="256" t="str"/>
      <c r="E187" s="256" t="str"/>
      <c r="F187" s="256" t="str"/>
      <c r="G187" s="305" t="str"/>
      <c r="H187" s="305" t="str"/>
      <c r="I187" s="256" t="str"/>
      <c r="J187" s="256" t="str"/>
      <c r="K187" s="256" t="str"/>
      <c r="L187" s="256" t="str"/>
      <c r="M187" s="256" t="str"/>
      <c r="N187" s="256" t="str"/>
      <c r="O187" s="256" t="str"/>
      <c r="P187" s="256" t="str"/>
      <c r="Q187" s="306" t="str"/>
    </row>
    <row r="188" ht="20" customHeight="1" s="48">
      <c r="A188" s="304" t="str"/>
      <c r="B188" s="256" t="str"/>
      <c r="C188" s="256" t="str"/>
      <c r="D188" s="256" t="str"/>
      <c r="E188" s="256" t="str"/>
      <c r="F188" s="256" t="str"/>
      <c r="G188" s="305" t="str"/>
      <c r="H188" s="305" t="str"/>
      <c r="I188" s="256" t="str"/>
      <c r="J188" s="256" t="str"/>
      <c r="K188" s="256" t="str"/>
      <c r="L188" s="256" t="str"/>
      <c r="M188" s="256" t="str"/>
      <c r="N188" s="256" t="str"/>
      <c r="O188" s="256" t="str"/>
      <c r="P188" s="256" t="str"/>
      <c r="Q188" s="306" t="str"/>
    </row>
    <row r="189" ht="20" customHeight="1" s="48">
      <c r="A189" s="304" t="str"/>
      <c r="B189" s="256" t="str"/>
      <c r="C189" s="256" t="str"/>
      <c r="D189" s="256" t="str"/>
      <c r="E189" s="256" t="str"/>
      <c r="F189" s="256" t="str"/>
      <c r="G189" s="305" t="str"/>
      <c r="H189" s="305" t="str"/>
      <c r="I189" s="256" t="str"/>
      <c r="J189" s="256" t="str"/>
      <c r="K189" s="256" t="str"/>
      <c r="L189" s="256" t="str"/>
      <c r="M189" s="256" t="str"/>
      <c r="N189" s="256" t="str"/>
      <c r="O189" s="256" t="str"/>
      <c r="P189" s="256" t="str"/>
      <c r="Q189" s="306" t="str"/>
    </row>
    <row r="190" ht="20" customHeight="1" s="48">
      <c r="A190" s="304" t="str"/>
      <c r="B190" s="256" t="str"/>
      <c r="C190" s="256" t="str"/>
      <c r="D190" s="256" t="str"/>
      <c r="E190" s="256" t="str"/>
      <c r="F190" s="256" t="str"/>
      <c r="G190" s="305" t="str"/>
      <c r="H190" s="305" t="str"/>
      <c r="I190" s="256" t="str"/>
      <c r="J190" s="256" t="str"/>
      <c r="K190" s="256" t="str"/>
      <c r="L190" s="256" t="str"/>
      <c r="M190" s="256" t="str"/>
      <c r="N190" s="256" t="str"/>
      <c r="O190" s="256" t="str"/>
      <c r="P190" s="256" t="str"/>
      <c r="Q190" s="306" t="str"/>
    </row>
    <row r="191" ht="20" customHeight="1" s="48">
      <c r="A191" s="304" t="str"/>
      <c r="B191" s="256" t="str"/>
      <c r="C191" s="256" t="str"/>
      <c r="D191" s="256" t="str"/>
      <c r="E191" s="256" t="str"/>
      <c r="F191" s="256" t="str"/>
      <c r="G191" s="305" t="str"/>
      <c r="H191" s="305" t="str"/>
      <c r="I191" s="256" t="str"/>
      <c r="J191" s="256" t="str"/>
      <c r="K191" s="256" t="str"/>
      <c r="L191" s="256" t="str"/>
      <c r="M191" s="256" t="str"/>
      <c r="N191" s="256" t="str"/>
      <c r="O191" s="256" t="str"/>
      <c r="P191" s="256" t="str"/>
      <c r="Q191" s="306" t="str"/>
    </row>
    <row r="192" ht="20" customHeight="1" s="48">
      <c r="A192" s="304" t="str"/>
      <c r="B192" s="256" t="str"/>
      <c r="C192" s="256" t="str"/>
      <c r="D192" s="256" t="str"/>
      <c r="E192" s="256" t="str"/>
      <c r="F192" s="256" t="str"/>
      <c r="G192" s="305" t="str"/>
      <c r="H192" s="305" t="str"/>
      <c r="I192" s="256" t="str"/>
      <c r="J192" s="256" t="str"/>
      <c r="K192" s="256" t="str"/>
      <c r="L192" s="256" t="str"/>
      <c r="M192" s="256" t="str"/>
      <c r="N192" s="256" t="str"/>
      <c r="O192" s="256" t="str"/>
      <c r="P192" s="256" t="str"/>
      <c r="Q192" s="306" t="str"/>
    </row>
    <row r="193" ht="20" customHeight="1" s="48">
      <c r="A193" s="304" t="str"/>
      <c r="B193" s="256" t="str"/>
      <c r="C193" s="256" t="str"/>
      <c r="D193" s="256" t="str"/>
      <c r="E193" s="256" t="str"/>
      <c r="F193" s="256" t="str"/>
      <c r="G193" s="305" t="str"/>
      <c r="H193" s="305" t="str"/>
      <c r="I193" s="256" t="str"/>
      <c r="J193" s="256" t="str"/>
      <c r="K193" s="256" t="str"/>
      <c r="L193" s="256" t="str"/>
      <c r="M193" s="256" t="str"/>
      <c r="N193" s="256" t="str"/>
      <c r="O193" s="256" t="str"/>
      <c r="P193" s="256" t="str"/>
      <c r="Q193" s="306" t="str"/>
    </row>
    <row r="194" ht="20" customHeight="1" s="48">
      <c r="A194" s="304" t="str"/>
      <c r="B194" s="256" t="str"/>
      <c r="C194" s="256" t="str"/>
      <c r="D194" s="256" t="str"/>
      <c r="E194" s="256" t="str"/>
      <c r="F194" s="256" t="str"/>
      <c r="G194" s="305" t="str"/>
      <c r="H194" s="305" t="str"/>
      <c r="I194" s="256" t="str"/>
      <c r="J194" s="256" t="str"/>
      <c r="K194" s="256" t="str"/>
      <c r="L194" s="256" t="str"/>
      <c r="M194" s="256" t="str"/>
      <c r="N194" s="256" t="str"/>
      <c r="O194" s="256" t="str"/>
      <c r="P194" s="256" t="str"/>
      <c r="Q194" s="306" t="str"/>
    </row>
    <row r="195" ht="20" customHeight="1" s="48">
      <c r="A195" s="304" t="str"/>
      <c r="B195" s="256" t="str"/>
      <c r="C195" s="256" t="str"/>
      <c r="D195" s="256" t="str"/>
      <c r="E195" s="256" t="str"/>
      <c r="F195" s="256" t="str"/>
      <c r="G195" s="305" t="str"/>
      <c r="H195" s="305" t="str"/>
      <c r="I195" s="256" t="str"/>
      <c r="J195" s="256" t="str"/>
      <c r="K195" s="256" t="str"/>
      <c r="L195" s="256" t="str"/>
      <c r="M195" s="256" t="str"/>
      <c r="N195" s="256" t="str"/>
      <c r="O195" s="256" t="str"/>
      <c r="P195" s="256" t="str"/>
      <c r="Q195" s="306" t="str"/>
    </row>
    <row r="196" ht="20" customHeight="1" s="48">
      <c r="A196" s="304" t="str"/>
      <c r="B196" s="256" t="str"/>
      <c r="C196" s="256" t="str"/>
      <c r="D196" s="256" t="str"/>
      <c r="E196" s="256" t="str"/>
      <c r="F196" s="256" t="str"/>
      <c r="G196" s="305" t="str"/>
      <c r="H196" s="305" t="str"/>
      <c r="I196" s="256" t="str"/>
      <c r="J196" s="256" t="str"/>
      <c r="K196" s="256" t="str"/>
      <c r="L196" s="256" t="str"/>
      <c r="M196" s="256" t="str"/>
      <c r="N196" s="256" t="str"/>
      <c r="O196" s="256" t="str"/>
      <c r="P196" s="256" t="str"/>
      <c r="Q196" s="306" t="str"/>
    </row>
    <row r="197" ht="20" customHeight="1" s="48">
      <c r="A197" s="304" t="str"/>
      <c r="B197" s="256" t="str"/>
      <c r="C197" s="256" t="str"/>
      <c r="D197" s="256" t="str"/>
      <c r="E197" s="256" t="str"/>
      <c r="F197" s="256" t="str"/>
      <c r="G197" s="305" t="str"/>
      <c r="H197" s="305" t="str"/>
      <c r="I197" s="256" t="str"/>
      <c r="J197" s="256" t="str"/>
      <c r="K197" s="256" t="str"/>
      <c r="L197" s="256" t="str"/>
      <c r="M197" s="256" t="str"/>
      <c r="N197" s="256" t="str"/>
      <c r="O197" s="256" t="str"/>
      <c r="P197" s="256" t="str"/>
      <c r="Q197" s="306" t="str"/>
    </row>
    <row r="198" ht="20" customHeight="1" s="48">
      <c r="A198" s="304" t="str"/>
      <c r="B198" s="256" t="str"/>
      <c r="C198" s="256" t="str"/>
      <c r="D198" s="256" t="str"/>
      <c r="E198" s="256" t="str"/>
      <c r="F198" s="256" t="str"/>
      <c r="G198" s="305" t="str"/>
      <c r="H198" s="305" t="str"/>
      <c r="I198" s="256" t="str"/>
      <c r="J198" s="256" t="str"/>
      <c r="K198" s="256" t="str"/>
      <c r="L198" s="256" t="str"/>
      <c r="M198" s="256" t="str"/>
      <c r="N198" s="256" t="str"/>
      <c r="O198" s="256" t="str"/>
      <c r="P198" s="256" t="str"/>
      <c r="Q198" s="306" t="str"/>
    </row>
    <row r="199" ht="20" customHeight="1" s="48">
      <c r="A199" s="304" t="str"/>
      <c r="B199" s="256" t="str"/>
      <c r="C199" s="256" t="str"/>
      <c r="D199" s="256" t="str"/>
      <c r="E199" s="256" t="str"/>
      <c r="F199" s="256" t="str"/>
      <c r="G199" s="305" t="str"/>
      <c r="H199" s="305" t="str"/>
      <c r="I199" s="256" t="str"/>
      <c r="J199" s="256" t="str"/>
      <c r="K199" s="256" t="str"/>
      <c r="L199" s="256" t="str"/>
      <c r="M199" s="256" t="str"/>
      <c r="N199" s="256" t="str"/>
      <c r="O199" s="256" t="str"/>
      <c r="P199" s="256" t="str"/>
      <c r="Q199" s="306" t="str"/>
    </row>
    <row r="200" ht="20" customHeight="1" s="48">
      <c r="A200" s="304" t="str"/>
      <c r="B200" s="256" t="str"/>
      <c r="C200" s="256" t="str"/>
      <c r="D200" s="256" t="str"/>
      <c r="E200" s="256" t="str"/>
      <c r="F200" s="256" t="str"/>
      <c r="G200" s="305" t="str"/>
      <c r="H200" s="305" t="str"/>
      <c r="I200" s="256" t="str"/>
      <c r="J200" s="256" t="str"/>
      <c r="K200" s="256" t="str"/>
      <c r="L200" s="256" t="str"/>
      <c r="M200" s="256" t="str"/>
      <c r="N200" s="256" t="str"/>
      <c r="O200" s="256" t="str"/>
      <c r="P200" s="256" t="str"/>
      <c r="Q200" s="306" t="str"/>
    </row>
    <row r="201" ht="20" customHeight="1" s="48">
      <c r="A201" s="304" t="str"/>
      <c r="B201" s="256" t="str"/>
      <c r="C201" s="256" t="str"/>
      <c r="D201" s="256" t="str"/>
      <c r="E201" s="256" t="str"/>
      <c r="F201" s="256" t="str"/>
      <c r="G201" s="305" t="str"/>
      <c r="H201" s="305" t="str"/>
      <c r="I201" s="256" t="str"/>
      <c r="J201" s="256" t="str"/>
      <c r="K201" s="256" t="str"/>
      <c r="L201" s="256" t="str"/>
      <c r="M201" s="256" t="str"/>
      <c r="N201" s="256" t="str"/>
      <c r="O201" s="256" t="str"/>
      <c r="P201" s="256" t="str"/>
      <c r="Q201" s="306" t="str"/>
    </row>
    <row r="202" ht="20" customHeight="1" s="48">
      <c r="A202" s="304" t="str"/>
      <c r="B202" s="256" t="str"/>
      <c r="C202" s="256" t="str"/>
      <c r="D202" s="256" t="str"/>
      <c r="E202" s="256" t="str"/>
      <c r="F202" s="256" t="str"/>
      <c r="G202" s="305" t="str"/>
      <c r="H202" s="305" t="str"/>
      <c r="I202" s="256" t="str"/>
      <c r="J202" s="256" t="str"/>
      <c r="K202" s="256" t="str"/>
      <c r="L202" s="256" t="str"/>
      <c r="M202" s="256" t="str"/>
      <c r="N202" s="256" t="str"/>
      <c r="O202" s="256" t="str"/>
      <c r="P202" s="256" t="str"/>
      <c r="Q202" s="306" t="str"/>
    </row>
    <row r="203" ht="20" customHeight="1" s="48">
      <c r="A203" s="304" t="str"/>
      <c r="B203" s="256" t="str"/>
      <c r="C203" s="256" t="str"/>
      <c r="D203" s="256" t="str"/>
      <c r="E203" s="256" t="str"/>
      <c r="F203" s="256" t="str"/>
      <c r="G203" s="305" t="str"/>
      <c r="H203" s="305" t="str"/>
      <c r="I203" s="256" t="str"/>
      <c r="J203" s="256" t="str"/>
      <c r="K203" s="256" t="str"/>
      <c r="L203" s="256" t="str"/>
      <c r="M203" s="256" t="str"/>
      <c r="N203" s="256" t="str"/>
      <c r="O203" s="256" t="str"/>
      <c r="P203" s="256" t="str"/>
      <c r="Q203" s="306" t="str"/>
    </row>
    <row r="204" ht="20" customHeight="1" s="48">
      <c r="A204" s="304" t="str"/>
      <c r="B204" s="256" t="str"/>
      <c r="C204" s="256" t="str"/>
      <c r="D204" s="256" t="str"/>
      <c r="E204" s="256" t="str"/>
      <c r="F204" s="256" t="str"/>
      <c r="G204" s="305" t="str"/>
      <c r="H204" s="305" t="str"/>
      <c r="I204" s="256" t="str"/>
      <c r="J204" s="256" t="str"/>
      <c r="K204" s="256" t="str"/>
      <c r="L204" s="256" t="str"/>
      <c r="M204" s="256" t="str"/>
      <c r="N204" s="256" t="str"/>
      <c r="O204" s="256" t="str"/>
      <c r="P204" s="256" t="str"/>
      <c r="Q204" s="306" t="str"/>
    </row>
    <row r="205" ht="20" customHeight="1" s="48">
      <c r="A205" s="304" t="str"/>
      <c r="B205" s="256" t="str"/>
      <c r="C205" s="256" t="str"/>
      <c r="D205" s="256" t="str"/>
      <c r="E205" s="256" t="str"/>
      <c r="F205" s="256" t="str"/>
      <c r="G205" s="305" t="str"/>
      <c r="H205" s="305" t="str"/>
      <c r="I205" s="256" t="str"/>
      <c r="J205" s="256" t="str"/>
      <c r="K205" s="256" t="str"/>
      <c r="L205" s="256" t="str"/>
      <c r="M205" s="256" t="str"/>
      <c r="N205" s="256" t="str"/>
      <c r="O205" s="256" t="str"/>
      <c r="P205" s="256" t="str"/>
      <c r="Q205" s="306" t="str"/>
    </row>
    <row r="206" ht="20" customHeight="1" s="48">
      <c r="A206" s="304" t="str"/>
      <c r="B206" s="256" t="str"/>
      <c r="C206" s="256" t="str"/>
      <c r="D206" s="256" t="str"/>
      <c r="E206" s="256" t="str"/>
      <c r="F206" s="256" t="str"/>
      <c r="G206" s="305" t="str"/>
      <c r="H206" s="305" t="str"/>
      <c r="I206" s="256" t="str"/>
      <c r="J206" s="256" t="str"/>
      <c r="K206" s="256" t="str"/>
      <c r="L206" s="256" t="str"/>
      <c r="M206" s="256" t="str"/>
      <c r="N206" s="256" t="str"/>
      <c r="O206" s="256" t="str"/>
      <c r="P206" s="256" t="str"/>
      <c r="Q206" s="306" t="str"/>
    </row>
    <row r="207" ht="20" customHeight="1" s="48">
      <c r="A207" s="304" t="str"/>
      <c r="B207" s="256" t="str"/>
      <c r="C207" s="256" t="str"/>
      <c r="D207" s="256" t="str"/>
      <c r="E207" s="256" t="str"/>
      <c r="F207" s="256" t="str"/>
      <c r="G207" s="305" t="str"/>
      <c r="H207" s="305" t="str"/>
      <c r="I207" s="256" t="str"/>
      <c r="J207" s="256" t="str"/>
      <c r="K207" s="256" t="str"/>
      <c r="L207" s="256" t="str"/>
      <c r="M207" s="256" t="str"/>
      <c r="N207" s="256" t="str"/>
      <c r="O207" s="256" t="str"/>
      <c r="P207" s="256" t="str"/>
      <c r="Q207" s="306" t="str"/>
    </row>
    <row r="208" ht="20" customHeight="1" s="48">
      <c r="A208" s="304" t="str"/>
      <c r="B208" s="256" t="str"/>
      <c r="C208" s="256" t="str"/>
      <c r="D208" s="256" t="str"/>
      <c r="E208" s="256" t="str"/>
      <c r="F208" s="256" t="str"/>
      <c r="G208" s="305" t="str"/>
      <c r="H208" s="305" t="str"/>
      <c r="I208" s="256" t="str"/>
      <c r="J208" s="256" t="str"/>
      <c r="K208" s="256" t="str"/>
      <c r="L208" s="256" t="str"/>
      <c r="M208" s="256" t="str"/>
      <c r="N208" s="256" t="str"/>
      <c r="O208" s="256" t="str"/>
      <c r="P208" s="256" t="str"/>
      <c r="Q208" s="306" t="str"/>
    </row>
    <row r="209" ht="20" customHeight="1" s="48">
      <c r="A209" s="304" t="str"/>
      <c r="B209" s="256" t="str"/>
      <c r="C209" s="256" t="str"/>
      <c r="D209" s="256" t="str"/>
      <c r="E209" s="256" t="str"/>
      <c r="F209" s="256" t="str"/>
      <c r="G209" s="305" t="str"/>
      <c r="H209" s="305" t="str"/>
      <c r="I209" s="256" t="str"/>
      <c r="J209" s="256" t="str"/>
      <c r="K209" s="256" t="str"/>
      <c r="L209" s="256" t="str"/>
      <c r="M209" s="256" t="str"/>
      <c r="N209" s="256" t="str"/>
      <c r="O209" s="256" t="str"/>
      <c r="P209" s="256" t="str"/>
      <c r="Q209" s="306" t="str"/>
    </row>
    <row r="210" ht="20" customHeight="1" s="48">
      <c r="A210" s="304" t="str"/>
      <c r="B210" s="256" t="str"/>
      <c r="C210" s="256" t="str"/>
      <c r="D210" s="256" t="str"/>
      <c r="E210" s="256" t="str"/>
      <c r="F210" s="256" t="str"/>
      <c r="G210" s="305" t="str"/>
      <c r="H210" s="305" t="str"/>
      <c r="I210" s="256" t="str"/>
      <c r="J210" s="256" t="str"/>
      <c r="K210" s="256" t="str"/>
      <c r="L210" s="256" t="str"/>
      <c r="M210" s="256" t="str"/>
      <c r="N210" s="256" t="str"/>
      <c r="O210" s="256" t="str"/>
      <c r="P210" s="256" t="str"/>
      <c r="Q210" s="306" t="str"/>
    </row>
    <row r="211" ht="20" customHeight="1" s="48">
      <c r="A211" s="304" t="str"/>
      <c r="B211" s="256" t="str"/>
      <c r="C211" s="256" t="str"/>
      <c r="D211" s="256" t="str"/>
      <c r="E211" s="256" t="str"/>
      <c r="F211" s="256" t="str"/>
      <c r="G211" s="305" t="str"/>
      <c r="H211" s="305" t="str"/>
      <c r="I211" s="256" t="str"/>
      <c r="J211" s="256" t="str"/>
      <c r="K211" s="256" t="str"/>
      <c r="L211" s="256" t="str"/>
      <c r="M211" s="256" t="str"/>
      <c r="N211" s="256" t="str"/>
      <c r="O211" s="256" t="str"/>
      <c r="P211" s="256" t="str"/>
      <c r="Q211" s="306" t="str"/>
    </row>
    <row r="212" ht="20" customHeight="1" s="48">
      <c r="A212" s="304" t="str"/>
      <c r="B212" s="256" t="str"/>
      <c r="C212" s="256" t="str"/>
      <c r="D212" s="256" t="str"/>
      <c r="E212" s="256" t="str"/>
      <c r="F212" s="256" t="str"/>
      <c r="G212" s="305" t="str"/>
      <c r="H212" s="305" t="str"/>
      <c r="I212" s="256" t="str"/>
      <c r="J212" s="256" t="str"/>
      <c r="K212" s="256" t="str"/>
      <c r="L212" s="256" t="str"/>
      <c r="M212" s="256" t="str"/>
      <c r="N212" s="256" t="str"/>
      <c r="O212" s="256" t="str"/>
      <c r="P212" s="256" t="str"/>
      <c r="Q212" s="306" t="str"/>
    </row>
    <row r="213" ht="20" customHeight="1" s="48">
      <c r="A213" s="304" t="str"/>
      <c r="B213" s="256" t="str"/>
      <c r="C213" s="256" t="str"/>
      <c r="D213" s="256" t="str"/>
      <c r="E213" s="256" t="str"/>
      <c r="F213" s="256" t="str"/>
      <c r="G213" s="305" t="str"/>
      <c r="H213" s="305" t="str"/>
      <c r="I213" s="256" t="str"/>
      <c r="J213" s="256" t="str"/>
      <c r="K213" s="256" t="str"/>
      <c r="L213" s="256" t="str"/>
      <c r="M213" s="256" t="str"/>
      <c r="N213" s="256" t="str"/>
      <c r="O213" s="256" t="str"/>
      <c r="P213" s="256" t="str"/>
      <c r="Q213" s="306" t="str"/>
    </row>
    <row r="214" ht="20" customHeight="1" s="48">
      <c r="A214" s="304" t="str"/>
      <c r="B214" s="256" t="str"/>
      <c r="C214" s="256" t="str"/>
      <c r="D214" s="256" t="str"/>
      <c r="E214" s="256" t="str"/>
      <c r="F214" s="256" t="str"/>
      <c r="G214" s="305" t="str"/>
      <c r="H214" s="305" t="str"/>
      <c r="I214" s="256" t="str"/>
      <c r="J214" s="256" t="str"/>
      <c r="K214" s="256" t="str"/>
      <c r="L214" s="256" t="str"/>
      <c r="M214" s="256" t="str"/>
      <c r="N214" s="256" t="str"/>
      <c r="O214" s="256" t="str"/>
      <c r="P214" s="256" t="str"/>
      <c r="Q214" s="306" t="str"/>
    </row>
    <row r="215" ht="20" customHeight="1" s="48">
      <c r="A215" s="304" t="str"/>
      <c r="B215" s="256" t="str"/>
      <c r="C215" s="256" t="str"/>
      <c r="D215" s="256" t="str"/>
      <c r="E215" s="256" t="str"/>
      <c r="F215" s="256" t="str"/>
      <c r="G215" s="305" t="str"/>
      <c r="H215" s="305" t="str"/>
      <c r="I215" s="256" t="str"/>
      <c r="J215" s="256" t="str"/>
      <c r="K215" s="256" t="str"/>
      <c r="L215" s="256" t="str"/>
      <c r="M215" s="256" t="str"/>
      <c r="N215" s="256" t="str"/>
      <c r="O215" s="256" t="str"/>
      <c r="P215" s="256" t="str"/>
      <c r="Q215" s="306" t="str"/>
    </row>
    <row r="216" ht="20" customHeight="1" s="48">
      <c r="A216" s="304" t="str"/>
      <c r="B216" s="256" t="str"/>
      <c r="C216" s="256" t="str"/>
      <c r="D216" s="256" t="str"/>
      <c r="E216" s="256" t="str"/>
      <c r="F216" s="256" t="str"/>
      <c r="G216" s="305" t="str"/>
      <c r="H216" s="305" t="str"/>
      <c r="I216" s="256" t="str"/>
      <c r="J216" s="256" t="str"/>
      <c r="K216" s="256" t="str"/>
      <c r="L216" s="256" t="str"/>
      <c r="M216" s="256" t="str"/>
      <c r="N216" s="256" t="str"/>
      <c r="O216" s="256" t="str"/>
      <c r="P216" s="256" t="str"/>
      <c r="Q216" s="306" t="str"/>
    </row>
    <row r="217" ht="20" customHeight="1" s="48">
      <c r="A217" s="304" t="str"/>
      <c r="B217" s="256" t="str"/>
      <c r="C217" s="256" t="str"/>
      <c r="D217" s="256" t="str"/>
      <c r="E217" s="256" t="str"/>
      <c r="F217" s="256" t="str"/>
      <c r="G217" s="305" t="str"/>
      <c r="H217" s="305" t="str"/>
      <c r="I217" s="256" t="str"/>
      <c r="J217" s="256" t="str"/>
      <c r="K217" s="256" t="str"/>
      <c r="L217" s="256" t="str"/>
      <c r="M217" s="256" t="str"/>
      <c r="N217" s="256" t="str"/>
      <c r="O217" s="256" t="str"/>
      <c r="P217" s="256" t="str"/>
      <c r="Q217" s="306" t="str"/>
    </row>
    <row r="218" ht="20" customHeight="1" s="48">
      <c r="A218" s="304" t="str"/>
      <c r="B218" s="256" t="str"/>
      <c r="C218" s="256" t="str"/>
      <c r="D218" s="256" t="str"/>
      <c r="E218" s="256" t="str"/>
      <c r="F218" s="256" t="str"/>
      <c r="G218" s="305" t="str"/>
      <c r="H218" s="305" t="str"/>
      <c r="I218" s="256" t="str"/>
      <c r="J218" s="256" t="str"/>
      <c r="K218" s="256" t="str"/>
      <c r="L218" s="256" t="str"/>
      <c r="M218" s="256" t="str"/>
      <c r="N218" s="256" t="str"/>
      <c r="O218" s="256" t="str"/>
      <c r="P218" s="256" t="str"/>
      <c r="Q218" s="306" t="str"/>
    </row>
    <row r="219" ht="20" customHeight="1" s="48">
      <c r="A219" s="304" t="str"/>
      <c r="B219" s="256" t="str"/>
      <c r="C219" s="256" t="str"/>
      <c r="D219" s="256" t="str"/>
      <c r="E219" s="256" t="str"/>
      <c r="F219" s="256" t="str"/>
      <c r="G219" s="305" t="str"/>
      <c r="H219" s="305" t="str"/>
      <c r="I219" s="256" t="str"/>
      <c r="J219" s="256" t="str"/>
      <c r="K219" s="256" t="str"/>
      <c r="L219" s="256" t="str"/>
      <c r="M219" s="256" t="str"/>
      <c r="N219" s="256" t="str"/>
      <c r="O219" s="256" t="str"/>
      <c r="P219" s="256" t="str"/>
      <c r="Q219" s="306" t="str"/>
    </row>
    <row r="220" ht="20" customHeight="1" s="48">
      <c r="A220" s="304" t="str"/>
      <c r="B220" s="256" t="str"/>
      <c r="C220" s="256" t="str"/>
      <c r="D220" s="256" t="str"/>
      <c r="E220" s="256" t="str"/>
      <c r="F220" s="256" t="str"/>
      <c r="G220" s="305" t="str"/>
      <c r="H220" s="305" t="str"/>
      <c r="I220" s="256" t="str"/>
      <c r="J220" s="256" t="str"/>
      <c r="K220" s="256" t="str"/>
      <c r="L220" s="256" t="str"/>
      <c r="M220" s="256" t="str"/>
      <c r="N220" s="256" t="str"/>
      <c r="O220" s="256" t="str"/>
      <c r="P220" s="256" t="str"/>
      <c r="Q220" s="306" t="str"/>
    </row>
    <row r="221" ht="20" customHeight="1" s="48">
      <c r="A221" s="304" t="str"/>
      <c r="B221" s="256" t="str"/>
      <c r="C221" s="256" t="str"/>
      <c r="D221" s="256" t="str"/>
      <c r="E221" s="256" t="str"/>
      <c r="F221" s="256" t="str"/>
      <c r="G221" s="305" t="str"/>
      <c r="H221" s="305" t="str"/>
      <c r="I221" s="256" t="str"/>
      <c r="J221" s="256" t="str"/>
      <c r="K221" s="256" t="str"/>
      <c r="L221" s="256" t="str"/>
      <c r="M221" s="256" t="str"/>
      <c r="N221" s="256" t="str"/>
      <c r="O221" s="256" t="str"/>
      <c r="P221" s="256" t="str"/>
      <c r="Q221" s="306" t="str"/>
    </row>
    <row r="222" ht="20" customHeight="1" s="48">
      <c r="A222" s="304" t="str"/>
      <c r="B222" s="256" t="str"/>
      <c r="C222" s="256" t="str"/>
      <c r="D222" s="256" t="str"/>
      <c r="E222" s="256" t="str"/>
      <c r="F222" s="256" t="str"/>
      <c r="G222" s="305" t="str"/>
      <c r="H222" s="305" t="str"/>
      <c r="I222" s="256" t="str"/>
      <c r="J222" s="256" t="str"/>
      <c r="K222" s="256" t="str"/>
      <c r="L222" s="256" t="str"/>
      <c r="M222" s="256" t="str"/>
      <c r="N222" s="256" t="str"/>
      <c r="O222" s="256" t="str"/>
      <c r="P222" s="256" t="str"/>
      <c r="Q222" s="306" t="str"/>
    </row>
    <row r="223" ht="20" customHeight="1" s="48">
      <c r="A223" s="304" t="str"/>
      <c r="B223" s="256" t="str"/>
      <c r="C223" s="256" t="str"/>
      <c r="D223" s="256" t="str"/>
      <c r="E223" s="256" t="str"/>
      <c r="F223" s="256" t="str"/>
      <c r="G223" s="305" t="str"/>
      <c r="H223" s="305" t="str"/>
      <c r="I223" s="256" t="str"/>
      <c r="J223" s="256" t="str"/>
      <c r="K223" s="256" t="str"/>
      <c r="L223" s="256" t="str"/>
      <c r="M223" s="256" t="str"/>
      <c r="N223" s="256" t="str"/>
      <c r="O223" s="256" t="str"/>
      <c r="P223" s="256" t="str"/>
      <c r="Q223" s="306" t="str"/>
    </row>
    <row r="224" ht="20" customHeight="1" s="48">
      <c r="A224" s="304" t="str"/>
      <c r="B224" s="256" t="str"/>
      <c r="C224" s="256" t="str"/>
      <c r="D224" s="256" t="str"/>
      <c r="E224" s="256" t="str"/>
      <c r="F224" s="256" t="str"/>
      <c r="G224" s="305" t="str"/>
      <c r="H224" s="305" t="str"/>
      <c r="I224" s="256" t="str"/>
      <c r="J224" s="256" t="str"/>
      <c r="K224" s="256" t="str"/>
      <c r="L224" s="256" t="str"/>
      <c r="M224" s="256" t="str"/>
      <c r="N224" s="256" t="str"/>
      <c r="O224" s="256" t="str"/>
      <c r="P224" s="256" t="str"/>
      <c r="Q224" s="306" t="str"/>
    </row>
    <row r="225" ht="20" customHeight="1" s="48">
      <c r="A225" s="304" t="str"/>
      <c r="B225" s="256" t="str"/>
      <c r="C225" s="256" t="str"/>
      <c r="D225" s="256" t="str"/>
      <c r="E225" s="256" t="str"/>
      <c r="F225" s="256" t="str"/>
      <c r="G225" s="305" t="str"/>
      <c r="H225" s="305" t="str"/>
      <c r="I225" s="256" t="str"/>
      <c r="J225" s="256" t="str"/>
      <c r="K225" s="256" t="str"/>
      <c r="L225" s="256" t="str"/>
      <c r="M225" s="256" t="str"/>
      <c r="N225" s="256" t="str"/>
      <c r="O225" s="256" t="str"/>
      <c r="P225" s="256" t="str"/>
      <c r="Q225" s="306" t="str"/>
    </row>
    <row r="226" ht="20" customHeight="1" s="48">
      <c r="A226" s="304" t="str"/>
      <c r="B226" s="256" t="str"/>
      <c r="C226" s="256" t="str"/>
      <c r="D226" s="256" t="str"/>
      <c r="E226" s="256" t="str"/>
      <c r="F226" s="256" t="str"/>
      <c r="G226" s="305" t="str"/>
      <c r="H226" s="305" t="str"/>
      <c r="I226" s="256" t="str"/>
      <c r="J226" s="256" t="str"/>
      <c r="K226" s="256" t="str"/>
      <c r="L226" s="256" t="str"/>
      <c r="M226" s="256" t="str"/>
      <c r="N226" s="256" t="str"/>
      <c r="O226" s="256" t="str"/>
      <c r="P226" s="256" t="str"/>
      <c r="Q226" s="306" t="str"/>
    </row>
    <row r="227" ht="20" customHeight="1" s="48">
      <c r="A227" s="304" t="str"/>
      <c r="B227" s="256" t="str"/>
      <c r="C227" s="256" t="str"/>
      <c r="D227" s="256" t="str"/>
      <c r="E227" s="256" t="str"/>
      <c r="F227" s="256" t="str"/>
      <c r="G227" s="305" t="str"/>
      <c r="H227" s="305" t="str"/>
      <c r="I227" s="256" t="str"/>
      <c r="J227" s="256" t="str"/>
      <c r="K227" s="256" t="str"/>
      <c r="L227" s="256" t="str"/>
      <c r="M227" s="256" t="str"/>
      <c r="N227" s="256" t="str"/>
      <c r="O227" s="256" t="str"/>
      <c r="P227" s="256" t="str"/>
      <c r="Q227" s="306" t="str"/>
    </row>
    <row r="228" ht="20" customHeight="1" s="48">
      <c r="A228" s="304" t="str"/>
      <c r="B228" s="256" t="str"/>
      <c r="C228" s="256" t="str"/>
      <c r="D228" s="256" t="str"/>
      <c r="E228" s="256" t="str"/>
      <c r="F228" s="256" t="str"/>
      <c r="G228" s="305" t="str"/>
      <c r="H228" s="305" t="str"/>
      <c r="I228" s="256" t="str"/>
      <c r="J228" s="256" t="str"/>
      <c r="K228" s="256" t="str"/>
      <c r="L228" s="256" t="str"/>
      <c r="M228" s="256" t="str"/>
      <c r="N228" s="256" t="str"/>
      <c r="O228" s="256" t="str"/>
      <c r="P228" s="256" t="str"/>
      <c r="Q228" s="306" t="str"/>
    </row>
    <row r="229" ht="20" customHeight="1" s="48">
      <c r="A229" s="304" t="str"/>
      <c r="B229" s="256" t="str"/>
      <c r="C229" s="256" t="str"/>
      <c r="D229" s="256" t="str"/>
      <c r="E229" s="256" t="str"/>
      <c r="F229" s="256" t="str"/>
      <c r="G229" s="305" t="str"/>
      <c r="H229" s="305" t="str"/>
      <c r="I229" s="256" t="str"/>
      <c r="J229" s="256" t="str"/>
      <c r="K229" s="256" t="str"/>
      <c r="L229" s="256" t="str"/>
      <c r="M229" s="256" t="str"/>
      <c r="N229" s="256" t="str"/>
      <c r="O229" s="256" t="str"/>
      <c r="P229" s="256" t="str"/>
      <c r="Q229" s="306" t="str"/>
    </row>
    <row r="230" ht="20" customHeight="1" s="48">
      <c r="A230" s="304" t="str"/>
      <c r="B230" s="256" t="str"/>
      <c r="C230" s="256" t="str"/>
      <c r="D230" s="256" t="str"/>
      <c r="E230" s="256" t="str"/>
      <c r="F230" s="256" t="str"/>
      <c r="G230" s="305" t="str"/>
      <c r="H230" s="305" t="str"/>
      <c r="I230" s="256" t="str"/>
      <c r="J230" s="256" t="str"/>
      <c r="K230" s="256" t="str"/>
      <c r="L230" s="256" t="str"/>
      <c r="M230" s="256" t="str"/>
      <c r="N230" s="256" t="str"/>
      <c r="O230" s="256" t="str"/>
      <c r="P230" s="256" t="str"/>
      <c r="Q230" s="306" t="str"/>
    </row>
    <row r="231" ht="20" customHeight="1" s="48">
      <c r="A231" s="304" t="str"/>
      <c r="B231" s="256" t="str"/>
      <c r="C231" s="256" t="str"/>
      <c r="D231" s="256" t="str"/>
      <c r="E231" s="256" t="str"/>
      <c r="F231" s="256" t="str"/>
      <c r="G231" s="305" t="str"/>
      <c r="H231" s="305" t="str"/>
      <c r="I231" s="256" t="str"/>
      <c r="J231" s="256" t="str"/>
      <c r="K231" s="256" t="str"/>
      <c r="L231" s="256" t="str"/>
      <c r="M231" s="256" t="str"/>
      <c r="N231" s="256" t="str"/>
      <c r="O231" s="256" t="str"/>
      <c r="P231" s="256" t="str"/>
      <c r="Q231" s="306" t="str"/>
    </row>
    <row r="232" ht="20" customHeight="1" s="48">
      <c r="A232" s="304" t="str"/>
      <c r="B232" s="256" t="str"/>
      <c r="C232" s="256" t="str"/>
      <c r="D232" s="256" t="str"/>
      <c r="E232" s="256" t="str"/>
      <c r="F232" s="256" t="str"/>
      <c r="G232" s="305" t="str"/>
      <c r="H232" s="305" t="str"/>
      <c r="I232" s="256" t="str"/>
      <c r="J232" s="256" t="str"/>
      <c r="K232" s="256" t="str"/>
      <c r="L232" s="256" t="str"/>
      <c r="M232" s="256" t="str"/>
      <c r="N232" s="256" t="str"/>
      <c r="O232" s="256" t="str"/>
      <c r="P232" s="256" t="str"/>
      <c r="Q232" s="306" t="str"/>
    </row>
    <row r="233" ht="20" customHeight="1" s="48">
      <c r="A233" s="304" t="str"/>
      <c r="B233" s="256" t="str"/>
      <c r="C233" s="256" t="str"/>
      <c r="D233" s="256" t="str"/>
      <c r="E233" s="256" t="str"/>
      <c r="F233" s="256" t="str"/>
      <c r="G233" s="305" t="str"/>
      <c r="H233" s="305" t="str"/>
      <c r="I233" s="256" t="str"/>
      <c r="J233" s="256" t="str"/>
      <c r="K233" s="256" t="str"/>
      <c r="L233" s="256" t="str"/>
      <c r="M233" s="256" t="str"/>
      <c r="N233" s="256" t="str"/>
      <c r="O233" s="256" t="str"/>
      <c r="P233" s="256" t="str"/>
      <c r="Q233" s="306" t="str"/>
    </row>
    <row r="234" ht="20" customHeight="1" s="48">
      <c r="A234" s="304" t="str"/>
      <c r="B234" s="256" t="str"/>
      <c r="C234" s="256" t="str"/>
      <c r="D234" s="256" t="str"/>
      <c r="E234" s="256" t="str"/>
      <c r="F234" s="256" t="str"/>
      <c r="G234" s="305" t="str"/>
      <c r="H234" s="305" t="str"/>
      <c r="I234" s="256" t="str"/>
      <c r="J234" s="256" t="str"/>
      <c r="K234" s="256" t="str"/>
      <c r="L234" s="256" t="str"/>
      <c r="M234" s="256" t="str"/>
      <c r="N234" s="256" t="str"/>
      <c r="O234" s="256" t="str"/>
      <c r="P234" s="256" t="str"/>
      <c r="Q234" s="306" t="str"/>
    </row>
    <row r="235" ht="20" customHeight="1" s="48">
      <c r="A235" s="304" t="str"/>
      <c r="B235" s="256" t="str"/>
      <c r="C235" s="256" t="str"/>
      <c r="D235" s="256" t="str"/>
      <c r="E235" s="256" t="str"/>
      <c r="F235" s="256" t="str"/>
      <c r="G235" s="305" t="str"/>
      <c r="H235" s="305" t="str"/>
      <c r="I235" s="256" t="str"/>
      <c r="J235" s="256" t="str"/>
      <c r="K235" s="256" t="str"/>
      <c r="L235" s="256" t="str"/>
      <c r="M235" s="256" t="str"/>
      <c r="N235" s="256" t="str"/>
      <c r="O235" s="256" t="str"/>
      <c r="P235" s="256" t="str"/>
      <c r="Q235" s="306" t="str"/>
    </row>
    <row r="236" ht="20" customHeight="1" s="48">
      <c r="A236" s="304" t="str"/>
      <c r="B236" s="256" t="str"/>
      <c r="C236" s="256" t="str"/>
      <c r="D236" s="256" t="str"/>
      <c r="E236" s="256" t="str"/>
      <c r="F236" s="256" t="str"/>
      <c r="G236" s="305" t="str"/>
      <c r="H236" s="305" t="str"/>
      <c r="I236" s="256" t="str"/>
      <c r="J236" s="256" t="str"/>
      <c r="K236" s="256" t="str"/>
      <c r="L236" s="256" t="str"/>
      <c r="M236" s="256" t="str"/>
      <c r="N236" s="256" t="str"/>
      <c r="O236" s="256" t="str"/>
      <c r="P236" s="256" t="str"/>
      <c r="Q236" s="306" t="str"/>
    </row>
    <row r="237" ht="20" customHeight="1" s="48">
      <c r="A237" s="304" t="str"/>
      <c r="B237" s="256" t="str"/>
      <c r="C237" s="256" t="str"/>
      <c r="D237" s="256" t="str"/>
      <c r="E237" s="256" t="str"/>
      <c r="F237" s="256" t="str"/>
      <c r="G237" s="305" t="str"/>
      <c r="H237" s="305" t="str"/>
      <c r="I237" s="256" t="str"/>
      <c r="J237" s="256" t="str"/>
      <c r="K237" s="256" t="str"/>
      <c r="L237" s="256" t="str"/>
      <c r="M237" s="256" t="str"/>
      <c r="N237" s="256" t="str"/>
      <c r="O237" s="256" t="str"/>
      <c r="P237" s="256" t="str"/>
      <c r="Q237" s="306" t="str"/>
    </row>
    <row r="238" ht="20" customHeight="1" s="48">
      <c r="A238" s="304" t="str"/>
      <c r="B238" s="256" t="str"/>
      <c r="C238" s="256" t="str"/>
      <c r="D238" s="256" t="str"/>
      <c r="E238" s="256" t="str"/>
      <c r="F238" s="256" t="str"/>
      <c r="G238" s="305" t="str"/>
      <c r="H238" s="305" t="str"/>
      <c r="I238" s="256" t="str"/>
      <c r="J238" s="256" t="str"/>
      <c r="K238" s="256" t="str"/>
      <c r="L238" s="256" t="str"/>
      <c r="M238" s="256" t="str"/>
      <c r="N238" s="256" t="str"/>
      <c r="O238" s="256" t="str"/>
      <c r="P238" s="256" t="str"/>
      <c r="Q238" s="306" t="str"/>
    </row>
    <row r="239" ht="20" customHeight="1" s="48">
      <c r="A239" s="304" t="str"/>
      <c r="B239" s="256" t="str"/>
      <c r="C239" s="256" t="str"/>
      <c r="D239" s="256" t="str"/>
      <c r="E239" s="256" t="str"/>
      <c r="F239" s="256" t="str"/>
      <c r="G239" s="305" t="str"/>
      <c r="H239" s="305" t="str"/>
      <c r="I239" s="256" t="str"/>
      <c r="J239" s="256" t="str"/>
      <c r="K239" s="256" t="str"/>
      <c r="L239" s="256" t="str"/>
      <c r="M239" s="256" t="str"/>
      <c r="N239" s="256" t="str"/>
      <c r="O239" s="256" t="str"/>
      <c r="P239" s="256" t="str"/>
      <c r="Q239" s="306" t="str"/>
    </row>
    <row r="240" ht="20" customHeight="1" s="48">
      <c r="A240" s="304" t="str"/>
      <c r="B240" s="256" t="str"/>
      <c r="C240" s="256" t="str"/>
      <c r="D240" s="256" t="str"/>
      <c r="E240" s="256" t="str"/>
      <c r="F240" s="256" t="str"/>
      <c r="G240" s="305" t="str"/>
      <c r="H240" s="305" t="str"/>
      <c r="I240" s="256" t="str"/>
      <c r="J240" s="256" t="str"/>
      <c r="K240" s="256" t="str"/>
      <c r="L240" s="256" t="str"/>
      <c r="M240" s="256" t="str"/>
      <c r="N240" s="256" t="str"/>
      <c r="O240" s="256" t="str"/>
      <c r="P240" s="256" t="str"/>
      <c r="Q240" s="306" t="str"/>
    </row>
    <row r="241" ht="20" customHeight="1" s="48">
      <c r="A241" s="304" t="str"/>
      <c r="B241" s="256" t="str"/>
      <c r="C241" s="256" t="str"/>
      <c r="D241" s="256" t="str"/>
      <c r="E241" s="256" t="str"/>
      <c r="F241" s="256" t="str"/>
      <c r="G241" s="305" t="str"/>
      <c r="H241" s="305" t="str"/>
      <c r="I241" s="256" t="str"/>
      <c r="J241" s="256" t="str"/>
      <c r="K241" s="256" t="str"/>
      <c r="L241" s="256" t="str"/>
      <c r="M241" s="256" t="str"/>
      <c r="N241" s="256" t="str"/>
      <c r="O241" s="256" t="str"/>
      <c r="P241" s="256" t="str"/>
      <c r="Q241" s="306" t="str"/>
    </row>
    <row r="242" ht="20" customHeight="1" s="48">
      <c r="A242" s="304" t="str"/>
      <c r="B242" s="256" t="str"/>
      <c r="C242" s="256" t="str"/>
      <c r="D242" s="256" t="str"/>
      <c r="E242" s="256" t="str"/>
      <c r="F242" s="256" t="str"/>
      <c r="G242" s="305" t="str"/>
      <c r="H242" s="305" t="str"/>
      <c r="I242" s="256" t="str"/>
      <c r="J242" s="256" t="str"/>
      <c r="K242" s="256" t="str"/>
      <c r="L242" s="256" t="str"/>
      <c r="M242" s="256" t="str"/>
      <c r="N242" s="256" t="str"/>
      <c r="O242" s="256" t="str"/>
      <c r="P242" s="256" t="str"/>
      <c r="Q242" s="306" t="str"/>
    </row>
    <row r="243" ht="20" customHeight="1" s="48">
      <c r="A243" s="304" t="str"/>
      <c r="B243" s="256" t="str"/>
      <c r="C243" s="256" t="str"/>
      <c r="D243" s="256" t="str"/>
      <c r="E243" s="256" t="str"/>
      <c r="F243" s="256" t="str"/>
      <c r="G243" s="305" t="str"/>
      <c r="H243" s="305" t="str"/>
      <c r="I243" s="256" t="str"/>
      <c r="J243" s="256" t="str"/>
      <c r="K243" s="256" t="str"/>
      <c r="L243" s="256" t="str"/>
      <c r="M243" s="256" t="str"/>
      <c r="N243" s="256" t="str"/>
      <c r="O243" s="256" t="str"/>
      <c r="P243" s="256" t="str"/>
      <c r="Q243" s="306" t="str"/>
    </row>
    <row r="244" ht="20" customHeight="1" s="48">
      <c r="A244" s="304" t="str"/>
      <c r="B244" s="256" t="str"/>
      <c r="C244" s="256" t="str"/>
      <c r="D244" s="256" t="str"/>
      <c r="E244" s="256" t="str"/>
      <c r="F244" s="256" t="str"/>
      <c r="G244" s="305" t="str"/>
      <c r="H244" s="305" t="str"/>
      <c r="I244" s="256" t="str"/>
      <c r="J244" s="256" t="str"/>
      <c r="K244" s="256" t="str"/>
      <c r="L244" s="256" t="str"/>
      <c r="M244" s="256" t="str"/>
      <c r="N244" s="256" t="str"/>
      <c r="O244" s="256" t="str"/>
      <c r="P244" s="256" t="str"/>
      <c r="Q244" s="306" t="str"/>
    </row>
    <row r="245" ht="20" customHeight="1" s="48">
      <c r="A245" s="304" t="str"/>
      <c r="B245" s="256" t="str"/>
      <c r="C245" s="256" t="str"/>
      <c r="D245" s="256" t="str"/>
      <c r="E245" s="256" t="str"/>
      <c r="F245" s="256" t="str"/>
      <c r="G245" s="305" t="str"/>
      <c r="H245" s="305" t="str"/>
      <c r="I245" s="256" t="str"/>
      <c r="J245" s="256" t="str"/>
      <c r="K245" s="256" t="str"/>
      <c r="L245" s="256" t="str"/>
      <c r="M245" s="256" t="str"/>
      <c r="N245" s="256" t="str"/>
      <c r="O245" s="256" t="str"/>
      <c r="P245" s="256" t="str"/>
      <c r="Q245" s="306" t="str"/>
    </row>
    <row r="246" ht="20" customHeight="1" s="48">
      <c r="A246" s="304" t="str"/>
      <c r="B246" s="256" t="str"/>
      <c r="C246" s="256" t="str"/>
      <c r="D246" s="256" t="str"/>
      <c r="E246" s="256" t="str"/>
      <c r="F246" s="256" t="str"/>
      <c r="G246" s="305" t="str"/>
      <c r="H246" s="305" t="str"/>
      <c r="I246" s="256" t="str"/>
      <c r="J246" s="256" t="str"/>
      <c r="K246" s="256" t="str"/>
      <c r="L246" s="256" t="str"/>
      <c r="M246" s="256" t="str"/>
      <c r="N246" s="256" t="str"/>
      <c r="O246" s="256" t="str"/>
      <c r="P246" s="256" t="str"/>
      <c r="Q246" s="306" t="str"/>
    </row>
    <row r="247" ht="20" customHeight="1" s="48">
      <c r="A247" s="304" t="str"/>
      <c r="B247" s="256" t="str"/>
      <c r="C247" s="256" t="str"/>
      <c r="D247" s="256" t="str"/>
      <c r="E247" s="256" t="str"/>
      <c r="F247" s="256" t="str"/>
      <c r="G247" s="305" t="str"/>
      <c r="H247" s="305" t="str"/>
      <c r="I247" s="256" t="str"/>
      <c r="J247" s="256" t="str"/>
      <c r="K247" s="256" t="str"/>
      <c r="L247" s="256" t="str"/>
      <c r="M247" s="256" t="str"/>
      <c r="N247" s="256" t="str"/>
      <c r="O247" s="256" t="str"/>
      <c r="P247" s="256" t="str"/>
      <c r="Q247" s="306" t="str"/>
    </row>
    <row r="248" ht="20" customHeight="1" s="48">
      <c r="A248" s="304" t="str"/>
      <c r="B248" s="256" t="str"/>
      <c r="C248" s="256" t="str"/>
      <c r="D248" s="256" t="str"/>
      <c r="E248" s="256" t="str"/>
      <c r="F248" s="256" t="str"/>
      <c r="G248" s="305" t="str"/>
      <c r="H248" s="305" t="str"/>
      <c r="I248" s="256" t="str"/>
      <c r="J248" s="256" t="str"/>
      <c r="K248" s="256" t="str"/>
      <c r="L248" s="256" t="str"/>
      <c r="M248" s="256" t="str"/>
      <c r="N248" s="256" t="str"/>
      <c r="O248" s="256" t="str"/>
      <c r="P248" s="256" t="str"/>
      <c r="Q248" s="306" t="str"/>
    </row>
    <row r="249" ht="20" customHeight="1" s="48">
      <c r="A249" s="304" t="str"/>
      <c r="B249" s="256" t="str"/>
      <c r="C249" s="256" t="str"/>
      <c r="D249" s="256" t="str"/>
      <c r="E249" s="256" t="str"/>
      <c r="F249" s="256" t="str"/>
      <c r="G249" s="305" t="str"/>
      <c r="H249" s="305" t="str"/>
      <c r="I249" s="256" t="str"/>
      <c r="J249" s="256" t="str"/>
      <c r="K249" s="256" t="str"/>
      <c r="L249" s="256" t="str"/>
      <c r="M249" s="256" t="str"/>
      <c r="N249" s="256" t="str"/>
      <c r="O249" s="256" t="str"/>
      <c r="P249" s="256" t="str"/>
      <c r="Q249" s="306" t="str"/>
    </row>
    <row r="250" ht="20" customHeight="1" s="48">
      <c r="A250" s="304" t="str"/>
      <c r="B250" s="256" t="str"/>
      <c r="C250" s="256" t="str"/>
      <c r="D250" s="256" t="str"/>
      <c r="E250" s="256" t="str"/>
      <c r="F250" s="256" t="str"/>
      <c r="G250" s="305" t="str"/>
      <c r="H250" s="305" t="str"/>
      <c r="I250" s="256" t="str"/>
      <c r="J250" s="256" t="str"/>
      <c r="K250" s="256" t="str"/>
      <c r="L250" s="256" t="str"/>
      <c r="M250" s="256" t="str"/>
      <c r="N250" s="256" t="str"/>
      <c r="O250" s="256" t="str"/>
      <c r="P250" s="256" t="str"/>
      <c r="Q250" s="306" t="str"/>
    </row>
    <row r="251" ht="20" customHeight="1" s="48">
      <c r="A251" s="304" t="str"/>
      <c r="B251" s="256" t="str"/>
      <c r="C251" s="256" t="str"/>
      <c r="D251" s="256" t="str"/>
      <c r="E251" s="256" t="str"/>
      <c r="F251" s="256" t="str"/>
      <c r="G251" s="305" t="str"/>
      <c r="H251" s="305" t="str"/>
      <c r="I251" s="256" t="str"/>
      <c r="J251" s="256" t="str"/>
      <c r="K251" s="256" t="str"/>
      <c r="L251" s="256" t="str"/>
      <c r="M251" s="256" t="str"/>
      <c r="N251" s="256" t="str"/>
      <c r="O251" s="256" t="str"/>
      <c r="P251" s="256" t="str"/>
      <c r="Q251" s="306" t="str"/>
    </row>
    <row r="252" ht="20" customHeight="1" s="48">
      <c r="A252" s="304" t="str"/>
      <c r="B252" s="256" t="str"/>
      <c r="C252" s="256" t="str"/>
      <c r="D252" s="256" t="str"/>
      <c r="E252" s="256" t="str"/>
      <c r="F252" s="256" t="str"/>
      <c r="G252" s="305" t="str"/>
      <c r="H252" s="305" t="str"/>
      <c r="I252" s="256" t="str"/>
      <c r="J252" s="256" t="str"/>
      <c r="K252" s="256" t="str"/>
      <c r="L252" s="256" t="str"/>
      <c r="M252" s="256" t="str"/>
      <c r="N252" s="256" t="str"/>
      <c r="O252" s="256" t="str"/>
      <c r="P252" s="256" t="str"/>
      <c r="Q252" s="306" t="str"/>
    </row>
    <row r="253" ht="20" customHeight="1" s="48">
      <c r="A253" s="304" t="str"/>
      <c r="B253" s="256" t="str"/>
      <c r="C253" s="256" t="str"/>
      <c r="D253" s="256" t="str"/>
      <c r="E253" s="256" t="str"/>
      <c r="F253" s="256" t="str"/>
      <c r="G253" s="305" t="str"/>
      <c r="H253" s="305" t="str"/>
      <c r="I253" s="256" t="str"/>
      <c r="J253" s="256" t="str"/>
      <c r="K253" s="256" t="str"/>
      <c r="L253" s="256" t="str"/>
      <c r="M253" s="256" t="str"/>
      <c r="N253" s="256" t="str"/>
      <c r="O253" s="256" t="str"/>
      <c r="P253" s="256" t="str"/>
      <c r="Q253" s="306" t="str"/>
    </row>
    <row r="254" ht="20" customHeight="1" s="48">
      <c r="A254" s="304" t="str"/>
      <c r="B254" s="256" t="str"/>
      <c r="C254" s="256" t="str"/>
      <c r="D254" s="256" t="str"/>
      <c r="E254" s="256" t="str"/>
      <c r="F254" s="256" t="str"/>
      <c r="G254" s="305" t="str"/>
      <c r="H254" s="305" t="str"/>
      <c r="I254" s="256" t="str"/>
      <c r="J254" s="256" t="str"/>
      <c r="K254" s="256" t="str"/>
      <c r="L254" s="256" t="str"/>
      <c r="M254" s="256" t="str"/>
      <c r="N254" s="256" t="str"/>
      <c r="O254" s="256" t="str"/>
      <c r="P254" s="256" t="str"/>
      <c r="Q254" s="306" t="str"/>
    </row>
    <row r="255" ht="20" customHeight="1" s="48">
      <c r="A255" s="304" t="str"/>
      <c r="B255" s="256" t="str"/>
      <c r="C255" s="256" t="str"/>
      <c r="D255" s="256" t="str"/>
      <c r="E255" s="256" t="str"/>
      <c r="F255" s="256" t="str"/>
      <c r="G255" s="305" t="str"/>
      <c r="H255" s="305" t="str"/>
      <c r="I255" s="256" t="str"/>
      <c r="J255" s="256" t="str"/>
      <c r="K255" s="256" t="str"/>
      <c r="L255" s="256" t="str"/>
      <c r="M255" s="256" t="str"/>
      <c r="N255" s="256" t="str"/>
      <c r="O255" s="256" t="str"/>
      <c r="P255" s="256" t="str"/>
      <c r="Q255" s="306" t="str"/>
    </row>
    <row r="256" ht="20" customHeight="1" s="48">
      <c r="A256" s="304" t="str"/>
      <c r="B256" s="256" t="str"/>
      <c r="C256" s="256" t="str"/>
      <c r="D256" s="256" t="str"/>
      <c r="E256" s="256" t="str"/>
      <c r="F256" s="256" t="str"/>
      <c r="G256" s="305" t="str"/>
      <c r="H256" s="305" t="str"/>
      <c r="I256" s="256" t="str"/>
      <c r="J256" s="256" t="str"/>
      <c r="K256" s="256" t="str"/>
      <c r="L256" s="256" t="str"/>
      <c r="M256" s="256" t="str"/>
      <c r="N256" s="256" t="str"/>
      <c r="O256" s="256" t="str"/>
      <c r="P256" s="256" t="str"/>
      <c r="Q256" s="306" t="str"/>
    </row>
    <row r="257" ht="20" customHeight="1" s="48">
      <c r="A257" s="304" t="str"/>
      <c r="B257" s="256" t="str"/>
      <c r="C257" s="256" t="str"/>
      <c r="D257" s="256" t="str"/>
      <c r="E257" s="256" t="str"/>
      <c r="F257" s="256" t="str"/>
      <c r="G257" s="305" t="str"/>
      <c r="H257" s="305" t="str"/>
      <c r="I257" s="256" t="str"/>
      <c r="J257" s="256" t="str"/>
      <c r="K257" s="256" t="str"/>
      <c r="L257" s="256" t="str"/>
      <c r="M257" s="256" t="str"/>
      <c r="N257" s="256" t="str"/>
      <c r="O257" s="256" t="str"/>
      <c r="P257" s="256" t="str"/>
      <c r="Q257" s="306" t="str"/>
    </row>
    <row r="258" ht="20" customHeight="1" s="48">
      <c r="A258" s="304" t="str"/>
      <c r="B258" s="256" t="str"/>
      <c r="C258" s="256" t="str"/>
      <c r="D258" s="256" t="str"/>
      <c r="E258" s="256" t="str"/>
      <c r="F258" s="256" t="str"/>
      <c r="G258" s="305" t="str"/>
      <c r="H258" s="305" t="str"/>
      <c r="I258" s="256" t="str"/>
      <c r="J258" s="256" t="str"/>
      <c r="K258" s="256" t="str"/>
      <c r="L258" s="256" t="str"/>
      <c r="M258" s="256" t="str"/>
      <c r="N258" s="256" t="str"/>
      <c r="O258" s="256" t="str"/>
      <c r="P258" s="256" t="str"/>
      <c r="Q258" s="306" t="str"/>
    </row>
    <row r="259" ht="20" customHeight="1" s="48">
      <c r="A259" s="304" t="str"/>
      <c r="B259" s="256" t="str"/>
      <c r="C259" s="256" t="str"/>
      <c r="D259" s="256" t="str"/>
      <c r="E259" s="256" t="str"/>
      <c r="F259" s="256" t="str"/>
      <c r="G259" s="305" t="str"/>
      <c r="H259" s="305" t="str"/>
      <c r="I259" s="256" t="str"/>
      <c r="J259" s="256" t="str"/>
      <c r="K259" s="256" t="str"/>
      <c r="L259" s="256" t="str"/>
      <c r="M259" s="256" t="str"/>
      <c r="N259" s="256" t="str"/>
      <c r="O259" s="256" t="str"/>
      <c r="P259" s="256" t="str"/>
      <c r="Q259" s="306" t="str"/>
    </row>
    <row r="260" ht="20" customHeight="1" s="48">
      <c r="A260" s="304" t="str"/>
      <c r="B260" s="256" t="str"/>
      <c r="C260" s="256" t="str"/>
      <c r="D260" s="256" t="str"/>
      <c r="E260" s="256" t="str"/>
      <c r="F260" s="256" t="str"/>
      <c r="G260" s="305" t="str"/>
      <c r="H260" s="305" t="str"/>
      <c r="I260" s="256" t="str"/>
      <c r="J260" s="256" t="str"/>
      <c r="K260" s="256" t="str"/>
      <c r="L260" s="256" t="str"/>
      <c r="M260" s="256" t="str"/>
      <c r="N260" s="256" t="str"/>
      <c r="O260" s="256" t="str"/>
      <c r="P260" s="256" t="str"/>
      <c r="Q260" s="306" t="str"/>
    </row>
    <row r="261" ht="20" customHeight="1" s="48">
      <c r="A261" s="304" t="str"/>
      <c r="B261" s="256" t="str"/>
      <c r="C261" s="256" t="str"/>
      <c r="D261" s="256" t="str"/>
      <c r="E261" s="256" t="str"/>
      <c r="F261" s="256" t="str"/>
      <c r="G261" s="305" t="str"/>
      <c r="H261" s="305" t="str"/>
      <c r="I261" s="256" t="str"/>
      <c r="J261" s="256" t="str"/>
      <c r="K261" s="256" t="str"/>
      <c r="L261" s="256" t="str"/>
      <c r="M261" s="256" t="str"/>
      <c r="N261" s="256" t="str"/>
      <c r="O261" s="256" t="str"/>
      <c r="P261" s="256" t="str"/>
      <c r="Q261" s="306" t="str"/>
    </row>
    <row r="262" ht="20" customHeight="1" s="48">
      <c r="A262" s="304" t="str"/>
      <c r="B262" s="256" t="str"/>
      <c r="C262" s="256" t="str"/>
      <c r="D262" s="256" t="str"/>
      <c r="E262" s="256" t="str"/>
      <c r="F262" s="256" t="str"/>
      <c r="G262" s="305" t="str"/>
      <c r="H262" s="305" t="str"/>
      <c r="I262" s="256" t="str"/>
      <c r="J262" s="256" t="str"/>
      <c r="K262" s="256" t="str"/>
      <c r="L262" s="256" t="str"/>
      <c r="M262" s="256" t="str"/>
      <c r="N262" s="256" t="str"/>
      <c r="O262" s="256" t="str"/>
      <c r="P262" s="256" t="str"/>
      <c r="Q262" s="306" t="str"/>
    </row>
    <row r="263" ht="20" customHeight="1" s="48">
      <c r="A263" s="304" t="str"/>
      <c r="B263" s="256" t="str"/>
      <c r="C263" s="256" t="str"/>
      <c r="D263" s="256" t="str"/>
      <c r="E263" s="256" t="str"/>
      <c r="F263" s="256" t="str"/>
      <c r="G263" s="305" t="str"/>
      <c r="H263" s="305" t="str"/>
      <c r="I263" s="256" t="str"/>
      <c r="J263" s="256" t="str"/>
      <c r="K263" s="256" t="str"/>
      <c r="L263" s="256" t="str"/>
      <c r="M263" s="256" t="str"/>
      <c r="N263" s="256" t="str"/>
      <c r="O263" s="256" t="str"/>
      <c r="P263" s="256" t="str"/>
      <c r="Q263" s="306" t="str"/>
    </row>
    <row r="264" ht="20" customHeight="1" s="48">
      <c r="A264" s="304" t="str"/>
      <c r="B264" s="256" t="str"/>
      <c r="C264" s="256" t="str"/>
      <c r="D264" s="256" t="str"/>
      <c r="E264" s="256" t="str"/>
      <c r="F264" s="256" t="str"/>
      <c r="G264" s="305" t="str"/>
      <c r="H264" s="305" t="str"/>
      <c r="I264" s="256" t="str"/>
      <c r="J264" s="256" t="str"/>
      <c r="K264" s="256" t="str"/>
      <c r="L264" s="256" t="str"/>
      <c r="M264" s="256" t="str"/>
      <c r="N264" s="256" t="str"/>
      <c r="O264" s="256" t="str"/>
      <c r="P264" s="256" t="str"/>
      <c r="Q264" s="306" t="str"/>
    </row>
    <row r="265" ht="20" customHeight="1" s="48">
      <c r="A265" s="304" t="str"/>
      <c r="B265" s="256" t="str"/>
      <c r="C265" s="256" t="str"/>
      <c r="D265" s="256" t="str"/>
      <c r="E265" s="256" t="str"/>
      <c r="F265" s="256" t="str"/>
      <c r="G265" s="305" t="str"/>
      <c r="H265" s="305" t="str"/>
      <c r="I265" s="256" t="str"/>
      <c r="J265" s="256" t="str"/>
      <c r="K265" s="256" t="str"/>
      <c r="L265" s="256" t="str"/>
      <c r="M265" s="256" t="str"/>
      <c r="N265" s="256" t="str"/>
      <c r="O265" s="256" t="str"/>
      <c r="P265" s="256" t="str"/>
      <c r="Q265" s="306" t="str"/>
    </row>
    <row r="266" ht="20" customHeight="1" s="48">
      <c r="A266" s="304" t="str"/>
      <c r="B266" s="256" t="str"/>
      <c r="C266" s="256" t="str"/>
      <c r="D266" s="256" t="str"/>
      <c r="E266" s="256" t="str"/>
      <c r="F266" s="256" t="str"/>
      <c r="G266" s="305" t="str"/>
      <c r="H266" s="305" t="str"/>
      <c r="I266" s="256" t="str"/>
      <c r="J266" s="256" t="str"/>
      <c r="K266" s="256" t="str"/>
      <c r="L266" s="256" t="str"/>
      <c r="M266" s="256" t="str"/>
      <c r="N266" s="256" t="str"/>
      <c r="O266" s="256" t="str"/>
      <c r="P266" s="256" t="str"/>
      <c r="Q266" s="306" t="str"/>
    </row>
    <row r="267" ht="20" customHeight="1" s="48">
      <c r="A267" s="304" t="str"/>
      <c r="B267" s="256" t="str"/>
      <c r="C267" s="256" t="str"/>
      <c r="D267" s="256" t="str"/>
      <c r="E267" s="256" t="str"/>
      <c r="F267" s="256" t="str"/>
      <c r="G267" s="305" t="str"/>
      <c r="H267" s="305" t="str"/>
      <c r="I267" s="256" t="str"/>
      <c r="J267" s="256" t="str"/>
      <c r="K267" s="256" t="str"/>
      <c r="L267" s="256" t="str"/>
      <c r="M267" s="256" t="str"/>
      <c r="N267" s="256" t="str"/>
      <c r="O267" s="256" t="str"/>
      <c r="P267" s="256" t="str"/>
      <c r="Q267" s="306" t="str"/>
    </row>
    <row r="268" ht="20" customHeight="1" s="48">
      <c r="A268" s="304" t="str"/>
      <c r="B268" s="256" t="str"/>
      <c r="C268" s="256" t="str"/>
      <c r="D268" s="256" t="str"/>
      <c r="E268" s="256" t="str"/>
      <c r="F268" s="256" t="str"/>
      <c r="G268" s="305" t="str"/>
      <c r="H268" s="305" t="str"/>
      <c r="I268" s="256" t="str"/>
      <c r="J268" s="256" t="str"/>
      <c r="K268" s="256" t="str"/>
      <c r="L268" s="256" t="str"/>
      <c r="M268" s="256" t="str"/>
      <c r="N268" s="256" t="str"/>
      <c r="O268" s="256" t="str"/>
      <c r="P268" s="256" t="str"/>
      <c r="Q268" s="306" t="str"/>
    </row>
    <row r="269" ht="20" customHeight="1" s="48">
      <c r="A269" s="304" t="str"/>
      <c r="B269" s="256" t="str"/>
      <c r="C269" s="256" t="str"/>
      <c r="D269" s="256" t="str"/>
      <c r="E269" s="256" t="str"/>
      <c r="F269" s="256" t="str"/>
      <c r="G269" s="305" t="str"/>
      <c r="H269" s="305" t="str"/>
      <c r="I269" s="256" t="str"/>
      <c r="J269" s="256" t="str"/>
      <c r="K269" s="256" t="str"/>
      <c r="L269" s="256" t="str"/>
      <c r="M269" s="256" t="str"/>
      <c r="N269" s="256" t="str"/>
      <c r="O269" s="256" t="str"/>
      <c r="P269" s="256" t="str"/>
      <c r="Q269" s="306" t="str"/>
    </row>
    <row r="270" ht="20" customHeight="1" s="48">
      <c r="A270" s="304" t="str"/>
      <c r="B270" s="256" t="str"/>
      <c r="C270" s="256" t="str"/>
      <c r="D270" s="256" t="str"/>
      <c r="E270" s="256" t="str"/>
      <c r="F270" s="256" t="str"/>
      <c r="G270" s="305" t="str"/>
      <c r="H270" s="305" t="str"/>
      <c r="I270" s="256" t="str"/>
      <c r="J270" s="256" t="str"/>
      <c r="K270" s="256" t="str"/>
      <c r="L270" s="256" t="str"/>
      <c r="M270" s="256" t="str"/>
      <c r="N270" s="256" t="str"/>
      <c r="O270" s="256" t="str"/>
      <c r="P270" s="256" t="str"/>
      <c r="Q270" s="306" t="str"/>
    </row>
    <row r="271" ht="20" customHeight="1" s="48">
      <c r="A271" s="304" t="str"/>
      <c r="B271" s="256" t="str"/>
      <c r="C271" s="256" t="str"/>
      <c r="D271" s="256" t="str"/>
      <c r="E271" s="256" t="str"/>
      <c r="F271" s="256" t="str"/>
      <c r="G271" s="305" t="str"/>
      <c r="H271" s="305" t="str"/>
      <c r="I271" s="256" t="str"/>
      <c r="J271" s="256" t="str"/>
      <c r="K271" s="256" t="str"/>
      <c r="L271" s="256" t="str"/>
      <c r="M271" s="256" t="str"/>
      <c r="N271" s="256" t="str"/>
      <c r="O271" s="256" t="str"/>
      <c r="P271" s="256" t="str"/>
      <c r="Q271" s="306" t="str"/>
    </row>
    <row r="272" ht="20" customHeight="1" s="48">
      <c r="A272" s="304" t="str"/>
      <c r="B272" s="256" t="str"/>
      <c r="C272" s="256" t="str"/>
      <c r="D272" s="256" t="str"/>
      <c r="E272" s="256" t="str"/>
      <c r="F272" s="256" t="str"/>
      <c r="G272" s="305" t="str"/>
      <c r="H272" s="305" t="str"/>
      <c r="I272" s="256" t="str"/>
      <c r="J272" s="256" t="str"/>
      <c r="K272" s="256" t="str"/>
      <c r="L272" s="256" t="str"/>
      <c r="M272" s="256" t="str"/>
      <c r="N272" s="256" t="str"/>
      <c r="O272" s="256" t="str"/>
      <c r="P272" s="256" t="str"/>
      <c r="Q272" s="306" t="str"/>
    </row>
    <row r="273" ht="20" customHeight="1" s="48">
      <c r="A273" s="304" t="str"/>
      <c r="B273" s="256" t="str"/>
      <c r="C273" s="256" t="str"/>
      <c r="D273" s="256" t="str"/>
      <c r="E273" s="256" t="str"/>
      <c r="F273" s="256" t="str"/>
      <c r="G273" s="305" t="str"/>
      <c r="H273" s="305" t="str"/>
      <c r="I273" s="256" t="str"/>
      <c r="J273" s="256" t="str"/>
      <c r="K273" s="256" t="str"/>
      <c r="L273" s="256" t="str"/>
      <c r="M273" s="256" t="str"/>
      <c r="N273" s="256" t="str"/>
      <c r="O273" s="256" t="str"/>
      <c r="P273" s="256" t="str"/>
      <c r="Q273" s="306" t="str"/>
    </row>
    <row r="274" ht="20" customHeight="1" s="48">
      <c r="A274" s="304" t="str"/>
      <c r="B274" s="256" t="str"/>
      <c r="C274" s="256" t="str"/>
      <c r="D274" s="256" t="str"/>
      <c r="E274" s="256" t="str"/>
      <c r="F274" s="256" t="str"/>
      <c r="G274" s="305" t="str"/>
      <c r="H274" s="305" t="str"/>
      <c r="I274" s="256" t="str"/>
      <c r="J274" s="256" t="str"/>
      <c r="K274" s="256" t="str"/>
      <c r="L274" s="256" t="str"/>
      <c r="M274" s="256" t="str"/>
      <c r="N274" s="256" t="str"/>
      <c r="O274" s="256" t="str"/>
      <c r="P274" s="256" t="str"/>
      <c r="Q274" s="306" t="str"/>
    </row>
    <row r="275" ht="20" customHeight="1" s="48">
      <c r="A275" s="304" t="str"/>
      <c r="B275" s="256" t="str"/>
      <c r="C275" s="256" t="str"/>
      <c r="D275" s="256" t="str"/>
      <c r="E275" s="256" t="str"/>
      <c r="F275" s="256" t="str"/>
      <c r="G275" s="305" t="str"/>
      <c r="H275" s="305" t="str"/>
      <c r="I275" s="256" t="str"/>
      <c r="J275" s="256" t="str"/>
      <c r="K275" s="256" t="str"/>
      <c r="L275" s="256" t="str"/>
      <c r="M275" s="256" t="str"/>
      <c r="N275" s="256" t="str"/>
      <c r="O275" s="256" t="str"/>
      <c r="P275" s="256" t="str"/>
      <c r="Q275" s="306" t="str"/>
    </row>
    <row r="276" ht="20" customHeight="1" s="48">
      <c r="A276" s="304" t="str"/>
      <c r="B276" s="256" t="str"/>
      <c r="C276" s="256" t="str"/>
      <c r="D276" s="256" t="str"/>
      <c r="E276" s="256" t="str"/>
      <c r="F276" s="256" t="str"/>
      <c r="G276" s="305" t="str"/>
      <c r="H276" s="305" t="str"/>
      <c r="I276" s="256" t="str"/>
      <c r="J276" s="256" t="str"/>
      <c r="K276" s="256" t="str"/>
      <c r="L276" s="256" t="str"/>
      <c r="M276" s="256" t="str"/>
      <c r="N276" s="256" t="str"/>
      <c r="O276" s="256" t="str"/>
      <c r="P276" s="256" t="str"/>
      <c r="Q276" s="306" t="str"/>
    </row>
    <row r="277" ht="20" customHeight="1" s="48">
      <c r="A277" s="304" t="str"/>
      <c r="B277" s="256" t="str"/>
      <c r="C277" s="256" t="str"/>
      <c r="D277" s="256" t="str"/>
      <c r="E277" s="256" t="str"/>
      <c r="F277" s="256" t="str"/>
      <c r="G277" s="305" t="str"/>
      <c r="H277" s="305" t="str"/>
      <c r="I277" s="256" t="str"/>
      <c r="J277" s="256" t="str"/>
      <c r="K277" s="256" t="str"/>
      <c r="L277" s="256" t="str"/>
      <c r="M277" s="256" t="str"/>
      <c r="N277" s="256" t="str"/>
      <c r="O277" s="256" t="str"/>
      <c r="P277" s="256" t="str"/>
      <c r="Q277" s="306" t="str"/>
    </row>
    <row r="278" ht="20" customHeight="1" s="48">
      <c r="A278" s="304" t="str"/>
      <c r="B278" s="256" t="str"/>
      <c r="C278" s="256" t="str"/>
      <c r="D278" s="256" t="str"/>
      <c r="E278" s="256" t="str"/>
      <c r="F278" s="256" t="str"/>
      <c r="G278" s="305" t="str"/>
      <c r="H278" s="305" t="str"/>
      <c r="I278" s="256" t="str"/>
      <c r="J278" s="256" t="str"/>
      <c r="K278" s="256" t="str"/>
      <c r="L278" s="256" t="str"/>
      <c r="M278" s="256" t="str"/>
      <c r="N278" s="256" t="str"/>
      <c r="O278" s="256" t="str"/>
      <c r="P278" s="256" t="str"/>
      <c r="Q278" s="306" t="str"/>
    </row>
    <row r="279" ht="20" customHeight="1" s="48">
      <c r="A279" s="304" t="str"/>
      <c r="B279" s="256" t="str"/>
      <c r="C279" s="256" t="str"/>
      <c r="D279" s="256" t="str"/>
      <c r="E279" s="256" t="str"/>
      <c r="F279" s="256" t="str"/>
      <c r="G279" s="305" t="str"/>
      <c r="H279" s="305" t="str"/>
      <c r="I279" s="256" t="str"/>
      <c r="J279" s="256" t="str"/>
      <c r="K279" s="256" t="str"/>
      <c r="L279" s="256" t="str"/>
      <c r="M279" s="256" t="str"/>
      <c r="N279" s="256" t="str"/>
      <c r="O279" s="256" t="str"/>
      <c r="P279" s="256" t="str"/>
      <c r="Q279" s="306" t="str"/>
    </row>
    <row r="280" ht="20" customHeight="1" s="48">
      <c r="A280" s="304" t="str"/>
      <c r="B280" s="256" t="str"/>
      <c r="C280" s="256" t="str"/>
      <c r="D280" s="256" t="str"/>
      <c r="E280" s="256" t="str"/>
      <c r="F280" s="256" t="str"/>
      <c r="G280" s="305" t="str"/>
      <c r="H280" s="305" t="str"/>
      <c r="I280" s="256" t="str"/>
      <c r="J280" s="256" t="str"/>
      <c r="K280" s="256" t="str"/>
      <c r="L280" s="256" t="str"/>
      <c r="M280" s="256" t="str"/>
      <c r="N280" s="256" t="str"/>
      <c r="O280" s="256" t="str"/>
      <c r="P280" s="256" t="str"/>
      <c r="Q280" s="306" t="str"/>
    </row>
    <row r="281" ht="20" customHeight="1" s="48">
      <c r="A281" s="304" t="str"/>
      <c r="B281" s="256" t="str"/>
      <c r="C281" s="256" t="str"/>
      <c r="D281" s="256" t="str"/>
      <c r="E281" s="256" t="str"/>
      <c r="F281" s="256" t="str"/>
      <c r="G281" s="305" t="str"/>
      <c r="H281" s="305" t="str"/>
      <c r="I281" s="256" t="str"/>
      <c r="J281" s="256" t="str"/>
      <c r="K281" s="256" t="str"/>
      <c r="L281" s="256" t="str"/>
      <c r="M281" s="256" t="str"/>
      <c r="N281" s="256" t="str"/>
      <c r="O281" s="256" t="str"/>
      <c r="P281" s="256" t="str"/>
      <c r="Q281" s="306" t="str"/>
    </row>
    <row r="282" ht="20" customHeight="1" s="48">
      <c r="A282" s="304" t="str"/>
      <c r="B282" s="256" t="str"/>
      <c r="C282" s="256" t="str"/>
      <c r="D282" s="256" t="str"/>
      <c r="E282" s="256" t="str"/>
      <c r="F282" s="256" t="str"/>
      <c r="G282" s="305" t="str"/>
      <c r="H282" s="305" t="str"/>
      <c r="I282" s="256" t="str"/>
      <c r="J282" s="256" t="str"/>
      <c r="K282" s="256" t="str"/>
      <c r="L282" s="256" t="str"/>
      <c r="M282" s="256" t="str"/>
      <c r="N282" s="256" t="str"/>
      <c r="O282" s="256" t="str"/>
      <c r="P282" s="256" t="str"/>
      <c r="Q282" s="306" t="str"/>
    </row>
    <row r="283" ht="20" customHeight="1" s="48">
      <c r="A283" s="304" t="str"/>
      <c r="B283" s="256" t="str"/>
      <c r="C283" s="256" t="str"/>
      <c r="D283" s="256" t="str"/>
      <c r="E283" s="256" t="str"/>
      <c r="F283" s="256" t="str"/>
      <c r="G283" s="305" t="str"/>
      <c r="H283" s="305" t="str"/>
      <c r="I283" s="256" t="str"/>
      <c r="J283" s="256" t="str"/>
      <c r="K283" s="256" t="str"/>
      <c r="L283" s="256" t="str"/>
      <c r="M283" s="256" t="str"/>
      <c r="N283" s="256" t="str"/>
      <c r="O283" s="256" t="str"/>
      <c r="P283" s="256" t="str"/>
      <c r="Q283" s="306" t="str"/>
    </row>
    <row r="284" ht="20" customHeight="1" s="48">
      <c r="A284" s="304" t="str"/>
      <c r="B284" s="256" t="str"/>
      <c r="C284" s="256" t="str"/>
      <c r="D284" s="256" t="str"/>
      <c r="E284" s="256" t="str"/>
      <c r="F284" s="256" t="str"/>
      <c r="G284" s="305" t="str"/>
      <c r="H284" s="305" t="str"/>
      <c r="I284" s="256" t="str"/>
      <c r="J284" s="256" t="str"/>
      <c r="K284" s="256" t="str"/>
      <c r="L284" s="256" t="str"/>
      <c r="M284" s="256" t="str"/>
      <c r="N284" s="256" t="str"/>
      <c r="O284" s="256" t="str"/>
      <c r="P284" s="256" t="str"/>
      <c r="Q284" s="306" t="str"/>
    </row>
    <row r="285" ht="20" customHeight="1" s="48">
      <c r="A285" s="304" t="str"/>
      <c r="B285" s="256" t="str"/>
      <c r="C285" s="256" t="str"/>
      <c r="D285" s="256" t="str"/>
      <c r="E285" s="256" t="str"/>
      <c r="F285" s="256" t="str"/>
      <c r="G285" s="305" t="str"/>
      <c r="H285" s="305" t="str"/>
      <c r="I285" s="256" t="str"/>
      <c r="J285" s="256" t="str"/>
      <c r="K285" s="256" t="str"/>
      <c r="L285" s="256" t="str"/>
      <c r="M285" s="256" t="str"/>
      <c r="N285" s="256" t="str"/>
      <c r="O285" s="256" t="str"/>
      <c r="P285" s="256" t="str"/>
      <c r="Q285" s="306" t="str"/>
    </row>
    <row r="286" ht="20" customHeight="1" s="48">
      <c r="A286" s="304" t="str"/>
      <c r="B286" s="256" t="str"/>
      <c r="C286" s="256" t="str"/>
      <c r="D286" s="256" t="str"/>
      <c r="E286" s="256" t="str"/>
      <c r="F286" s="256" t="str"/>
      <c r="G286" s="305" t="str"/>
      <c r="H286" s="305" t="str"/>
      <c r="I286" s="256" t="str"/>
      <c r="J286" s="256" t="str"/>
      <c r="K286" s="256" t="str"/>
      <c r="L286" s="256" t="str"/>
      <c r="M286" s="256" t="str"/>
      <c r="N286" s="256" t="str"/>
      <c r="O286" s="256" t="str"/>
      <c r="P286" s="256" t="str"/>
      <c r="Q286" s="306" t="str"/>
    </row>
    <row r="287" ht="20" customHeight="1" s="48">
      <c r="A287" s="304" t="str"/>
      <c r="B287" s="256" t="str"/>
      <c r="C287" s="256" t="str"/>
      <c r="D287" s="256" t="str"/>
      <c r="E287" s="256" t="str"/>
      <c r="F287" s="256" t="str"/>
      <c r="G287" s="305" t="str"/>
      <c r="H287" s="305" t="str"/>
      <c r="I287" s="256" t="str"/>
      <c r="J287" s="256" t="str"/>
      <c r="K287" s="256" t="str"/>
      <c r="L287" s="256" t="str"/>
      <c r="M287" s="256" t="str"/>
      <c r="N287" s="256" t="str"/>
      <c r="O287" s="256" t="str"/>
      <c r="P287" s="256" t="str"/>
      <c r="Q287" s="306" t="str"/>
    </row>
    <row r="288" ht="20" customHeight="1" s="48">
      <c r="A288" s="304" t="str"/>
      <c r="B288" s="256" t="str"/>
      <c r="C288" s="256" t="str"/>
      <c r="D288" s="256" t="str"/>
      <c r="E288" s="256" t="str"/>
      <c r="F288" s="256" t="str"/>
      <c r="G288" s="305" t="str"/>
      <c r="H288" s="305" t="str"/>
      <c r="I288" s="256" t="str"/>
      <c r="J288" s="256" t="str"/>
      <c r="K288" s="256" t="str"/>
      <c r="L288" s="256" t="str"/>
      <c r="M288" s="256" t="str"/>
      <c r="N288" s="256" t="str"/>
      <c r="O288" s="256" t="str"/>
      <c r="P288" s="256" t="str"/>
      <c r="Q288" s="306" t="str"/>
    </row>
    <row r="289" ht="20" customHeight="1" s="48">
      <c r="A289" s="304" t="str"/>
      <c r="B289" s="256" t="str"/>
      <c r="C289" s="256" t="str"/>
      <c r="D289" s="256" t="str"/>
      <c r="E289" s="256" t="str"/>
      <c r="F289" s="256" t="str"/>
      <c r="G289" s="305" t="str"/>
      <c r="H289" s="305" t="str"/>
      <c r="I289" s="256" t="str"/>
      <c r="J289" s="256" t="str"/>
      <c r="K289" s="256" t="str"/>
      <c r="L289" s="256" t="str"/>
      <c r="M289" s="256" t="str"/>
      <c r="N289" s="256" t="str"/>
      <c r="O289" s="256" t="str"/>
      <c r="P289" s="256" t="str"/>
      <c r="Q289" s="306" t="str"/>
    </row>
    <row r="290" ht="20" customHeight="1" s="48">
      <c r="A290" s="304" t="str"/>
      <c r="B290" s="256" t="str"/>
      <c r="C290" s="256" t="str"/>
      <c r="D290" s="256" t="str"/>
      <c r="E290" s="256" t="str"/>
      <c r="F290" s="256" t="str"/>
      <c r="G290" s="305" t="str"/>
      <c r="H290" s="305" t="str"/>
      <c r="I290" s="256" t="str"/>
      <c r="J290" s="256" t="str"/>
      <c r="K290" s="256" t="str"/>
      <c r="L290" s="256" t="str"/>
      <c r="M290" s="256" t="str"/>
      <c r="N290" s="256" t="str"/>
      <c r="O290" s="256" t="str"/>
      <c r="P290" s="256" t="str"/>
      <c r="Q290" s="306" t="str"/>
    </row>
    <row r="291" ht="20" customHeight="1" s="48">
      <c r="A291" s="304" t="str"/>
      <c r="B291" s="256" t="str"/>
      <c r="C291" s="256" t="str"/>
      <c r="D291" s="256" t="str"/>
      <c r="E291" s="256" t="str"/>
      <c r="F291" s="256" t="str"/>
      <c r="G291" s="305" t="str"/>
      <c r="H291" s="305" t="str"/>
      <c r="I291" s="256" t="str"/>
      <c r="J291" s="256" t="str"/>
      <c r="K291" s="256" t="str"/>
      <c r="L291" s="256" t="str"/>
      <c r="M291" s="256" t="str"/>
      <c r="N291" s="256" t="str"/>
      <c r="O291" s="256" t="str"/>
      <c r="P291" s="256" t="str"/>
      <c r="Q291" s="306" t="str"/>
    </row>
    <row r="292" ht="20" customHeight="1" s="48">
      <c r="A292" s="304" t="str"/>
      <c r="B292" s="256" t="str"/>
      <c r="C292" s="256" t="str"/>
      <c r="D292" s="256" t="str"/>
      <c r="E292" s="256" t="str"/>
      <c r="F292" s="256" t="str"/>
      <c r="G292" s="305" t="str"/>
      <c r="H292" s="305" t="str"/>
      <c r="I292" s="256" t="str"/>
      <c r="J292" s="256" t="str"/>
      <c r="K292" s="256" t="str"/>
      <c r="L292" s="256" t="str"/>
      <c r="M292" s="256" t="str"/>
      <c r="N292" s="256" t="str"/>
      <c r="O292" s="256" t="str"/>
      <c r="P292" s="256" t="str"/>
      <c r="Q292" s="306" t="str"/>
    </row>
    <row r="293" ht="20" customHeight="1" s="48">
      <c r="A293" s="304" t="str"/>
      <c r="B293" s="256" t="str"/>
      <c r="C293" s="256" t="str"/>
      <c r="D293" s="256" t="str"/>
      <c r="E293" s="256" t="str"/>
      <c r="F293" s="256" t="str"/>
      <c r="G293" s="305" t="str"/>
      <c r="H293" s="305" t="str"/>
      <c r="I293" s="256" t="str"/>
      <c r="J293" s="256" t="str"/>
      <c r="K293" s="256" t="str"/>
      <c r="L293" s="256" t="str"/>
      <c r="M293" s="256" t="str"/>
      <c r="N293" s="256" t="str"/>
      <c r="O293" s="256" t="str"/>
      <c r="P293" s="256" t="str"/>
      <c r="Q293" s="306" t="str"/>
    </row>
    <row r="294" ht="20" customHeight="1" s="48">
      <c r="A294" s="304" t="str"/>
      <c r="B294" s="256" t="str"/>
      <c r="C294" s="256" t="str"/>
      <c r="D294" s="256" t="str"/>
      <c r="E294" s="256" t="str"/>
      <c r="F294" s="256" t="str"/>
      <c r="G294" s="305" t="str"/>
      <c r="H294" s="305" t="str"/>
      <c r="I294" s="256" t="str"/>
      <c r="J294" s="256" t="str"/>
      <c r="K294" s="256" t="str"/>
      <c r="L294" s="256" t="str"/>
      <c r="M294" s="256" t="str"/>
      <c r="N294" s="256" t="str"/>
      <c r="O294" s="256" t="str"/>
      <c r="P294" s="256" t="str"/>
      <c r="Q294" s="306" t="str"/>
    </row>
    <row r="295" ht="20" customHeight="1" s="48">
      <c r="A295" s="304" t="str"/>
      <c r="B295" s="256" t="str"/>
      <c r="C295" s="256" t="str"/>
      <c r="D295" s="256" t="str"/>
      <c r="E295" s="256" t="str"/>
      <c r="F295" s="256" t="str"/>
      <c r="G295" s="305" t="str"/>
      <c r="H295" s="305" t="str"/>
      <c r="I295" s="256" t="str"/>
      <c r="J295" s="256" t="str"/>
      <c r="K295" s="256" t="str"/>
      <c r="L295" s="256" t="str"/>
      <c r="M295" s="256" t="str"/>
      <c r="N295" s="256" t="str"/>
      <c r="O295" s="256" t="str"/>
      <c r="P295" s="256" t="str"/>
      <c r="Q295" s="306" t="str"/>
    </row>
    <row r="296" ht="20" customHeight="1" s="48">
      <c r="A296" s="304" t="str"/>
      <c r="B296" s="256" t="str"/>
      <c r="C296" s="256" t="str"/>
      <c r="D296" s="256" t="str"/>
      <c r="E296" s="256" t="str"/>
      <c r="F296" s="256" t="str"/>
      <c r="G296" s="305" t="str"/>
      <c r="H296" s="305" t="str"/>
      <c r="I296" s="256" t="str"/>
      <c r="J296" s="256" t="str"/>
      <c r="K296" s="256" t="str"/>
      <c r="L296" s="256" t="str"/>
      <c r="M296" s="256" t="str"/>
      <c r="N296" s="256" t="str"/>
      <c r="O296" s="256" t="str"/>
      <c r="P296" s="256" t="str"/>
      <c r="Q296" s="306" t="str"/>
    </row>
    <row r="297" ht="20" customHeight="1" s="48">
      <c r="A297" s="304" t="str"/>
      <c r="B297" s="256" t="str"/>
      <c r="C297" s="256" t="str"/>
      <c r="D297" s="256" t="str"/>
      <c r="E297" s="256" t="str"/>
      <c r="F297" s="256" t="str"/>
      <c r="G297" s="305" t="str"/>
      <c r="H297" s="305" t="str"/>
      <c r="I297" s="256" t="str"/>
      <c r="J297" s="256" t="str"/>
      <c r="K297" s="256" t="str"/>
      <c r="L297" s="256" t="str"/>
      <c r="M297" s="256" t="str"/>
      <c r="N297" s="256" t="str"/>
      <c r="O297" s="256" t="str"/>
      <c r="P297" s="256" t="str"/>
      <c r="Q297" s="306" t="str"/>
    </row>
    <row r="298" ht="20" customHeight="1" s="48">
      <c r="A298" s="304" t="str"/>
      <c r="B298" s="256" t="str"/>
      <c r="C298" s="256" t="str"/>
      <c r="D298" s="256" t="str"/>
      <c r="E298" s="256" t="str"/>
      <c r="F298" s="256" t="str"/>
      <c r="G298" s="305" t="str"/>
      <c r="H298" s="305" t="str"/>
      <c r="I298" s="256" t="str"/>
      <c r="J298" s="256" t="str"/>
      <c r="K298" s="256" t="str"/>
      <c r="L298" s="256" t="str"/>
      <c r="M298" s="256" t="str"/>
      <c r="N298" s="256" t="str"/>
      <c r="O298" s="256" t="str"/>
      <c r="P298" s="256" t="str"/>
      <c r="Q298" s="306" t="str"/>
    </row>
    <row r="299" ht="20" customHeight="1" s="48">
      <c r="A299" s="304" t="str"/>
      <c r="B299" s="256" t="str"/>
      <c r="C299" s="256" t="str"/>
      <c r="D299" s="256" t="str"/>
      <c r="E299" s="256" t="str"/>
      <c r="F299" s="256" t="str"/>
      <c r="G299" s="305" t="str"/>
      <c r="H299" s="305" t="str"/>
      <c r="I299" s="256" t="str"/>
      <c r="J299" s="256" t="str"/>
      <c r="K299" s="256" t="str"/>
      <c r="L299" s="256" t="str"/>
      <c r="M299" s="256" t="str"/>
      <c r="N299" s="256" t="str"/>
      <c r="O299" s="256" t="str"/>
      <c r="P299" s="256" t="str"/>
      <c r="Q299" s="306" t="str"/>
    </row>
    <row r="300" ht="20" customHeight="1" s="48">
      <c r="A300" s="304" t="str"/>
      <c r="B300" s="256" t="str"/>
      <c r="C300" s="256" t="str"/>
      <c r="D300" s="256" t="str"/>
      <c r="E300" s="256" t="str"/>
      <c r="F300" s="256" t="str"/>
      <c r="G300" s="305" t="str"/>
      <c r="H300" s="305" t="str"/>
      <c r="I300" s="256" t="str"/>
      <c r="J300" s="256" t="str"/>
      <c r="K300" s="256" t="str"/>
      <c r="L300" s="256" t="str"/>
      <c r="M300" s="256" t="str"/>
      <c r="N300" s="256" t="str"/>
      <c r="O300" s="256" t="str"/>
      <c r="P300" s="256" t="str"/>
      <c r="Q300" s="306" t="str"/>
    </row>
    <row r="301" ht="20" customHeight="1" s="48">
      <c r="A301" s="304" t="str"/>
      <c r="B301" s="256" t="str"/>
      <c r="C301" s="256" t="str"/>
      <c r="D301" s="256" t="str"/>
      <c r="E301" s="256" t="str"/>
      <c r="F301" s="256" t="str"/>
      <c r="G301" s="305" t="str"/>
      <c r="H301" s="305" t="str"/>
      <c r="I301" s="256" t="str"/>
      <c r="J301" s="256" t="str"/>
      <c r="K301" s="256" t="str"/>
      <c r="L301" s="256" t="str"/>
      <c r="M301" s="256" t="str"/>
      <c r="N301" s="256" t="str"/>
      <c r="O301" s="256" t="str"/>
      <c r="P301" s="256" t="str"/>
      <c r="Q301" s="306" t="str"/>
    </row>
    <row r="302" ht="20" customHeight="1" s="48">
      <c r="A302" s="262" t="str"/>
      <c r="B302" s="263" t="str"/>
      <c r="C302" s="263" t="str"/>
      <c r="D302" s="263" t="str"/>
      <c r="E302" s="263" t="str"/>
      <c r="F302" s="263" t="str"/>
      <c r="G302" s="307" t="str"/>
      <c r="H302" s="307" t="str"/>
      <c r="I302" s="263" t="str"/>
      <c r="J302" s="263" t="str"/>
      <c r="K302" s="263" t="str"/>
      <c r="L302" s="263" t="str"/>
      <c r="M302" s="263" t="str"/>
      <c r="N302" s="263" t="str"/>
      <c r="O302" s="263" t="str"/>
      <c r="P302" s="263" t="str"/>
      <c r="Q302" s="264" t="str"/>
    </row>
    <row r="303" ht="20" customHeight="1" s="48"/>
    <row r="304" ht="20" customHeight="1" s="48"/>
    <row r="305" ht="20" customHeight="1" s="48"/>
    <row r="306" ht="20" customHeight="1" s="48"/>
    <row r="307" ht="20" customHeight="1" s="48"/>
    <row r="308" ht="20" customHeight="1" s="48"/>
    <row r="309" ht="20" customHeight="1" s="48"/>
    <row r="310" ht="20" customHeight="1" s="48"/>
    <row r="311" ht="20" customHeight="1" s="48"/>
    <row r="312" ht="20" customHeight="1" s="48"/>
    <row r="313" ht="20" customHeight="1" s="48"/>
    <row r="314" ht="20" customHeight="1" s="48"/>
    <row r="315" ht="20" customHeight="1" s="48"/>
    <row r="316" ht="20" customHeight="1" s="48"/>
    <row r="317" ht="20" customHeight="1" s="48"/>
    <row r="318" ht="20" customHeight="1" s="48"/>
    <row r="319" ht="20" customHeight="1" s="48"/>
    <row r="320" ht="20" customHeight="1" s="48"/>
    <row r="321" ht="20" customHeight="1" s="48"/>
    <row r="322" ht="20" customHeight="1" s="48"/>
    <row r="323" ht="20" customHeight="1" s="48"/>
    <row r="324" ht="20" customHeight="1" s="48"/>
    <row r="325" ht="20" customHeight="1" s="48"/>
    <row r="326" ht="20" customHeight="1" s="48"/>
    <row r="327" ht="20" customHeight="1" s="48"/>
    <row r="328" ht="20" customHeight="1" s="48"/>
    <row r="329" ht="20" customHeight="1" s="48"/>
    <row r="330" ht="20" customHeight="1" s="48"/>
    <row r="331" ht="20" customHeight="1" s="48"/>
    <row r="332" ht="20" customHeight="1" s="48"/>
    <row r="333" ht="20" customHeight="1" s="48"/>
    <row r="334" ht="20" customHeight="1" s="48"/>
    <row r="335" ht="20" customHeight="1" s="48"/>
    <row r="336" ht="20" customHeight="1" s="48"/>
    <row r="337" ht="20" customHeight="1" s="48"/>
    <row r="338" ht="20" customHeight="1" s="48"/>
    <row r="339" ht="20" customHeight="1" s="48"/>
    <row r="340" ht="20" customHeight="1" s="48"/>
    <row r="341" ht="20" customHeight="1" s="48"/>
    <row r="342" ht="20" customHeight="1" s="48"/>
    <row r="343" ht="20" customHeight="1" s="48"/>
    <row r="344" ht="20" customHeight="1" s="48"/>
    <row r="345" ht="20" customHeight="1" s="48"/>
    <row r="346" ht="20" customHeight="1" s="48"/>
    <row r="347" ht="20" customHeight="1" s="48"/>
    <row r="348" ht="20" customHeight="1" s="48"/>
    <row r="349" ht="20" customHeight="1" s="48"/>
    <row r="350" ht="20" customHeight="1" s="48"/>
    <row r="351" ht="20" customHeight="1" s="48"/>
    <row r="352" ht="20" customHeight="1" s="48"/>
    <row r="353" ht="20" customHeight="1" s="48"/>
    <row r="354" ht="20" customHeight="1" s="48"/>
    <row r="355" ht="20" customHeight="1" s="48"/>
    <row r="356" ht="20" customHeight="1" s="48"/>
    <row r="357" ht="20" customHeight="1" s="48"/>
    <row r="358" ht="20" customHeight="1" s="48"/>
    <row r="359" ht="20" customHeight="1" s="48"/>
    <row r="360" ht="20" customHeight="1" s="48"/>
    <row r="361" ht="20" customHeight="1" s="48"/>
    <row r="362" ht="20" customHeight="1" s="48"/>
    <row r="363" ht="20" customHeight="1" s="48"/>
    <row r="364" ht="20" customHeight="1" s="48"/>
    <row r="365" ht="20" customHeight="1" s="48"/>
    <row r="366" ht="20" customHeight="1" s="48"/>
    <row r="367" ht="20" customHeight="1" s="48"/>
    <row r="368" ht="20" customHeight="1" s="48"/>
    <row r="369" ht="20" customHeight="1" s="48"/>
    <row r="370" ht="20" customHeight="1" s="48"/>
    <row r="371" ht="20" customHeight="1" s="48"/>
    <row r="372" ht="20" customHeight="1" s="48"/>
    <row r="373" ht="20" customHeight="1" s="48"/>
    <row r="374" ht="20" customHeight="1" s="48"/>
    <row r="375" ht="20" customHeight="1" s="48"/>
    <row r="376" ht="20" customHeight="1" s="48"/>
    <row r="377" ht="20" customHeight="1" s="48"/>
    <row r="378" ht="20" customHeight="1" s="48"/>
    <row r="379" ht="20" customHeight="1" s="48"/>
    <row r="380" ht="20" customHeight="1" s="48"/>
    <row r="381" ht="20" customHeight="1" s="48"/>
    <row r="382" ht="20" customHeight="1" s="48"/>
    <row r="383" ht="20" customHeight="1" s="48"/>
    <row r="384" ht="20" customHeight="1" s="48"/>
    <row r="385" ht="20" customHeight="1" s="48"/>
    <row r="386" ht="20" customHeight="1" s="48"/>
    <row r="387" ht="20" customHeight="1" s="48"/>
    <row r="388" ht="20" customHeight="1" s="48"/>
    <row r="389" ht="20" customHeight="1" s="48"/>
    <row r="390" ht="20" customHeight="1" s="48"/>
    <row r="391" ht="20" customHeight="1" s="48"/>
    <row r="392" ht="20" customHeight="1" s="48"/>
    <row r="393" ht="20" customHeight="1" s="48"/>
    <row r="394" ht="20" customHeight="1" s="48"/>
    <row r="395" ht="20" customHeight="1" s="48"/>
    <row r="396" ht="20" customHeight="1" s="48"/>
    <row r="397" ht="20" customHeight="1" s="48"/>
    <row r="398" ht="20" customHeight="1" s="48"/>
    <row r="399" ht="20" customHeight="1" s="48"/>
    <row r="400" ht="20" customHeight="1" s="48"/>
    <row r="401" ht="20" customHeight="1" s="48"/>
    <row r="402" ht="20" customHeight="1" s="48"/>
    <row r="403" ht="20" customHeight="1" s="48"/>
    <row r="404" ht="20" customHeight="1" s="48"/>
    <row r="405" ht="20" customHeight="1" s="48"/>
    <row r="406" ht="20" customHeight="1" s="48"/>
    <row r="407" ht="20" customHeight="1" s="48"/>
    <row r="408" ht="20" customHeight="1" s="48"/>
    <row r="409" ht="20" customHeight="1" s="48"/>
    <row r="410" ht="20" customHeight="1" s="48"/>
    <row r="411" ht="20" customHeight="1" s="48"/>
    <row r="412" ht="20" customHeight="1" s="48"/>
    <row r="413" ht="20" customHeight="1" s="48"/>
    <row r="414" ht="20" customHeight="1" s="48"/>
    <row r="415" ht="20" customHeight="1" s="48"/>
    <row r="416" ht="20" customHeight="1" s="48"/>
    <row r="417" ht="20" customHeight="1" s="48"/>
    <row r="418" ht="20" customHeight="1" s="48"/>
    <row r="419" ht="20" customHeight="1" s="48"/>
    <row r="420" ht="20" customHeight="1" s="48"/>
    <row r="421" ht="20" customHeight="1" s="48"/>
    <row r="422" ht="20" customHeight="1" s="48"/>
    <row r="423" ht="20" customHeight="1" s="48"/>
    <row r="424" ht="20" customHeight="1" s="48"/>
    <row r="425" ht="20" customHeight="1" s="48"/>
    <row r="426" ht="20" customHeight="1" s="48"/>
    <row r="427" ht="20" customHeight="1" s="48"/>
    <row r="428" ht="20" customHeight="1" s="48"/>
    <row r="429" ht="20" customHeight="1" s="48"/>
    <row r="430" ht="20" customHeight="1" s="48"/>
    <row r="431" ht="20" customHeight="1" s="48"/>
    <row r="432" ht="20" customHeight="1" s="48"/>
    <row r="433" ht="20" customHeight="1" s="48"/>
    <row r="434" ht="20" customHeight="1" s="48"/>
    <row r="435" ht="20" customHeight="1" s="48"/>
    <row r="436" ht="20" customHeight="1" s="48"/>
    <row r="437" ht="20" customHeight="1" s="48"/>
    <row r="438" ht="20" customHeight="1" s="48"/>
    <row r="439" ht="20" customHeight="1" s="48"/>
    <row r="440" ht="20" customHeight="1" s="48"/>
    <row r="441" ht="20" customHeight="1" s="48"/>
    <row r="442" ht="20" customHeight="1" s="48"/>
    <row r="443" ht="20" customHeight="1" s="48"/>
    <row r="444" ht="20" customHeight="1" s="48"/>
    <row r="445" ht="20" customHeight="1" s="48"/>
    <row r="446" ht="20" customHeight="1" s="48"/>
    <row r="447" ht="20" customHeight="1" s="48"/>
    <row r="448" ht="20" customHeight="1" s="48"/>
    <row r="449" ht="20" customHeight="1" s="48"/>
    <row r="450" ht="20" customHeight="1" s="48"/>
    <row r="451" ht="20" customHeight="1" s="48"/>
    <row r="452" ht="20" customHeight="1" s="48"/>
    <row r="453" ht="20" customHeight="1" s="48"/>
    <row r="454" ht="20" customHeight="1" s="48"/>
    <row r="455" ht="20" customHeight="1" s="48"/>
    <row r="456" ht="20" customHeight="1" s="48"/>
    <row r="457" ht="20" customHeight="1" s="48"/>
    <row r="458" ht="20" customHeight="1" s="48"/>
    <row r="459" ht="20" customHeight="1" s="48"/>
    <row r="460" ht="20" customHeight="1" s="48"/>
    <row r="461" ht="20" customHeight="1" s="48"/>
    <row r="462" ht="20" customHeight="1" s="48"/>
    <row r="463" ht="20" customHeight="1" s="48"/>
    <row r="464" ht="20" customHeight="1" s="48"/>
    <row r="465" ht="20" customHeight="1" s="48"/>
    <row r="466" ht="20" customHeight="1" s="48"/>
    <row r="467" ht="20" customHeight="1" s="48"/>
    <row r="468" ht="20" customHeight="1" s="48"/>
    <row r="469" ht="20" customHeight="1" s="48"/>
    <row r="470" ht="20" customHeight="1" s="48"/>
    <row r="471" ht="20" customHeight="1" s="48"/>
    <row r="472" ht="20" customHeight="1" s="48"/>
    <row r="473" ht="20" customHeight="1" s="48"/>
    <row r="474" ht="20" customHeight="1" s="48"/>
    <row r="475" ht="20" customHeight="1" s="48"/>
    <row r="476" ht="20" customHeight="1" s="48"/>
    <row r="477" ht="20" customHeight="1" s="48"/>
    <row r="478" ht="20" customHeight="1" s="48"/>
    <row r="479" ht="20" customHeight="1" s="48"/>
    <row r="480" ht="20" customHeight="1" s="48"/>
    <row r="481" ht="20" customHeight="1" s="48"/>
    <row r="482" ht="20" customHeight="1" s="48"/>
    <row r="483" ht="20" customHeight="1" s="48"/>
    <row r="484" ht="20" customHeight="1" s="48"/>
    <row r="485" ht="20" customHeight="1" s="48"/>
    <row r="486" ht="20" customHeight="1" s="48"/>
    <row r="487" ht="20" customHeight="1" s="48"/>
    <row r="488" ht="20" customHeight="1" s="48"/>
    <row r="489" ht="20" customHeight="1" s="48"/>
    <row r="490" ht="20" customHeight="1" s="48"/>
    <row r="491" ht="20" customHeight="1" s="48"/>
    <row r="492" ht="20" customHeight="1" s="48"/>
    <row r="493" ht="20" customHeight="1" s="48"/>
    <row r="494" ht="20" customHeight="1" s="48"/>
    <row r="495" ht="20" customHeight="1" s="48"/>
    <row r="496" ht="20" customHeight="1" s="48"/>
    <row r="497" ht="20" customHeight="1" s="48"/>
    <row r="498" ht="20" customHeight="1" s="48"/>
    <row r="499" ht="20" customHeight="1" s="48"/>
    <row r="500" ht="20" customHeight="1" s="48"/>
  </sheetData>
  <mergeCells count="1">
    <mergeCell ref="A1:Q1"/>
  </mergeCells>
  <conditionalFormatting sqref="L4:L302">
    <cfRule type="expression" priority="1" dxfId="2">
      <formula>$L4="高"</formula>
    </cfRule>
    <cfRule type="expression" priority="2" dxfId="4">
      <formula>$L4="低"</formula>
    </cfRule>
  </conditionalFormatting>
  <dataValidations count="4">
    <dataValidation sqref="E4:E302" showDropDown="0" showInputMessage="0" showErrorMessage="0" allowBlank="0" type="list">
      <formula1>"一手资料,官方资料,研究论文,新闻报道,访谈,书籍,电影/视频,论坛/评论,其他"</formula1>
    </dataValidation>
    <dataValidation sqref="L4:L302" showDropDown="0" showInputMessage="0" showErrorMessage="0" allowBlank="0" type="list">
      <formula1>"高,中,低"</formula1>
    </dataValidation>
    <dataValidation sqref="O4:O302" showDropDown="0" showInputMessage="0" showErrorMessage="0" allowBlank="0" type="list">
      <formula1>"事实,观点,推断"</formula1>
    </dataValidation>
    <dataValidation sqref="P4:P302" showDropDown="0" showInputMessage="0" showErrorMessage="0" allowBlank="0" type="list">
      <formula1>"是,否,待核验"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0B981"/>
    <outlinePr summaryBelow="1" summaryRight="1"/>
    <pageSetUpPr/>
  </sheetPr>
  <dimension ref="A1:P30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48" min="1" max="1"/>
    <col width="12" customWidth="1" style="48" min="2" max="2"/>
    <col width="14" customWidth="1" style="48" min="3" max="3"/>
    <col width="12" customWidth="1" style="48" min="4" max="4"/>
    <col width="24" customWidth="1" style="48" min="5" max="5"/>
    <col width="16" customWidth="1" style="48" min="6" max="6"/>
    <col width="12" customWidth="1" style="48" min="7" max="7"/>
    <col width="24" customWidth="1" style="48" min="8" max="8"/>
    <col width="14" customWidth="1" style="48" min="9" max="9"/>
    <col width="10" customWidth="1" style="48" min="10" max="10"/>
    <col width="10" customWidth="1" style="48" min="11" max="11"/>
    <col width="12" customWidth="1" style="48" min="12" max="12"/>
    <col width="12" customWidth="1" style="48" min="13" max="13"/>
    <col width="16" customWidth="1" style="48" min="14" max="14"/>
    <col width="14" customWidth="1" style="48" min="15" max="15"/>
    <col width="18" customWidth="1" style="48" min="16" max="16"/>
  </cols>
  <sheetData>
    <row r="1" ht="28" customHeight="1" s="48">
      <c r="A1" s="255" t="inlineStr">
        <is>
          <t>素材清单｜Assets &amp; Rights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0" customHeight="1" s="48">
      <c r="A2" s="256" t="n"/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  <c r="O2" s="256" t="n"/>
      <c r="P2" s="256" t="n"/>
    </row>
    <row r="3" ht="24" customHeight="1" s="48">
      <c r="A3" s="259" t="inlineStr">
        <is>
          <t>Video ID</t>
        </is>
      </c>
      <c r="B3" s="259" t="inlineStr">
        <is>
          <t>Asset ID</t>
        </is>
      </c>
      <c r="C3" s="259" t="inlineStr">
        <is>
          <t>脚本段落/时间码</t>
        </is>
      </c>
      <c r="D3" s="259" t="inlineStr">
        <is>
          <t>素材类型</t>
        </is>
      </c>
      <c r="E3" s="259" t="inlineStr">
        <is>
          <t>素材描述</t>
        </is>
      </c>
      <c r="F3" s="259" t="inlineStr">
        <is>
          <t>画面目的</t>
        </is>
      </c>
      <c r="G3" s="259" t="inlineStr">
        <is>
          <t>来源方式</t>
        </is>
      </c>
      <c r="H3" s="259" t="inlineStr">
        <is>
          <t>来源/文件链接</t>
        </is>
      </c>
      <c r="I3" s="259" t="inlineStr">
        <is>
          <t>授权/版权状态</t>
        </is>
      </c>
      <c r="J3" s="259" t="inlineStr">
        <is>
          <t>状态</t>
        </is>
      </c>
      <c r="K3" s="259" t="inlineStr">
        <is>
          <t>负责人</t>
        </is>
      </c>
      <c r="L3" s="259" t="inlineStr">
        <is>
          <t>计划完成</t>
        </is>
      </c>
      <c r="M3" s="259" t="inlineStr">
        <is>
          <t>实际完成</t>
        </is>
      </c>
      <c r="N3" s="259" t="inlineStr">
        <is>
          <t>文件名</t>
        </is>
      </c>
      <c r="O3" s="259" t="inlineStr">
        <is>
          <t>使用位置</t>
        </is>
      </c>
      <c r="P3" s="259" t="inlineStr">
        <is>
          <t>备注</t>
        </is>
      </c>
    </row>
    <row r="4" ht="22" customHeight="1" s="48">
      <c r="A4" s="260" t="inlineStr">
        <is>
          <t>YT-001</t>
        </is>
      </c>
      <c r="B4" s="260" t="inlineStr">
        <is>
          <t>AST-001</t>
        </is>
      </c>
      <c r="C4" s="260" t="inlineStr">
        <is>
          <t>00:00–00:20</t>
        </is>
      </c>
      <c r="D4" s="260" t="inlineStr">
        <is>
          <t>B-roll</t>
        </is>
      </c>
      <c r="E4" s="260" t="inlineStr">
        <is>
          <t>清晨未来城市与家居自动化</t>
        </is>
      </c>
      <c r="F4" s="260" t="inlineStr">
        <is>
          <t>建立温柔未来世界的第一印象</t>
        </is>
      </c>
      <c r="G4" s="260" t="inlineStr">
        <is>
          <t>AI 生成</t>
        </is>
      </c>
      <c r="H4" s="260" t="str"/>
      <c r="I4" s="260" t="inlineStr">
        <is>
          <t>自有/可用</t>
        </is>
      </c>
      <c r="J4" s="293" t="inlineStr">
        <is>
          <t>待制作</t>
        </is>
      </c>
      <c r="K4" s="260" t="inlineStr">
        <is>
          <t>Gedi</t>
        </is>
      </c>
      <c r="L4" s="287" t="n">
        <v>46238</v>
      </c>
      <c r="M4" s="287" t="str"/>
      <c r="N4" s="260" t="inlineStr">
        <is>
          <t>YT001_BROLL_001</t>
        </is>
      </c>
      <c r="O4" s="260" t="inlineStr">
        <is>
          <t>Hook</t>
        </is>
      </c>
      <c r="P4" s="260" t="inlineStr">
        <is>
          <t>示例素材</t>
        </is>
      </c>
    </row>
    <row r="5" ht="22" customHeight="1" s="48">
      <c r="A5" s="261" t="inlineStr">
        <is>
          <t>YT-001</t>
        </is>
      </c>
      <c r="B5" s="261" t="inlineStr">
        <is>
          <t>AST-002</t>
        </is>
      </c>
      <c r="C5" s="261" t="inlineStr">
        <is>
          <t>00:40–01:20</t>
        </is>
      </c>
      <c r="D5" s="261" t="inlineStr">
        <is>
          <t>电影片段/剧照</t>
        </is>
      </c>
      <c r="E5" s="261" t="inlineStr">
        <is>
          <t>Bicentennial Man 未来家庭环境参考</t>
        </is>
      </c>
      <c r="F5" s="261" t="inlineStr">
        <is>
          <t>说明视觉灵感来源</t>
        </is>
      </c>
      <c r="G5" s="261" t="inlineStr">
        <is>
          <t>授权素材/合理使用评估</t>
        </is>
      </c>
      <c r="H5" s="261" t="inlineStr">
        <is>
          <t>https://www.imdb.com/title/tt0182789/</t>
        </is>
      </c>
      <c r="I5" s="261" t="inlineStr">
        <is>
          <t>待确认</t>
        </is>
      </c>
      <c r="J5" s="295" t="inlineStr">
        <is>
          <t>待寻找</t>
        </is>
      </c>
      <c r="K5" s="261" t="inlineStr">
        <is>
          <t>Gedi</t>
        </is>
      </c>
      <c r="L5" s="285" t="n">
        <v>46238</v>
      </c>
      <c r="M5" s="285" t="str"/>
      <c r="N5" s="261" t="str"/>
      <c r="O5" s="261" t="inlineStr">
        <is>
          <t>Research</t>
        </is>
      </c>
      <c r="P5" s="261" t="inlineStr">
        <is>
          <t>发布前需确认使用边界</t>
        </is>
      </c>
    </row>
    <row r="6" ht="22" customHeight="1" s="48">
      <c r="A6" s="260" t="inlineStr">
        <is>
          <t>YT-001</t>
        </is>
      </c>
      <c r="B6" s="260" t="inlineStr">
        <is>
          <t>AST-003</t>
        </is>
      </c>
      <c r="C6" s="260" t="inlineStr">
        <is>
          <t>02:00–02:30</t>
        </is>
      </c>
      <c r="D6" s="260" t="inlineStr">
        <is>
          <t>数据图表</t>
        </is>
      </c>
      <c r="E6" s="260" t="inlineStr">
        <is>
          <t>科技便利性与生活幸福感的关系示意</t>
        </is>
      </c>
      <c r="F6" s="260" t="inlineStr">
        <is>
          <t>帮助理解抽象观点</t>
        </is>
      </c>
      <c r="G6" s="260" t="inlineStr">
        <is>
          <t>自制</t>
        </is>
      </c>
      <c r="H6" s="260" t="str"/>
      <c r="I6" s="260" t="inlineStr">
        <is>
          <t>自有/可用</t>
        </is>
      </c>
      <c r="J6" s="293" t="inlineStr">
        <is>
          <t>待制作</t>
        </is>
      </c>
      <c r="K6" s="260" t="inlineStr">
        <is>
          <t>Gedi</t>
        </is>
      </c>
      <c r="L6" s="287" t="n">
        <v>46240</v>
      </c>
      <c r="M6" s="287" t="str"/>
      <c r="N6" s="260" t="inlineStr">
        <is>
          <t>YT001_CHART_001</t>
        </is>
      </c>
      <c r="O6" s="260" t="inlineStr">
        <is>
          <t>中段</t>
        </is>
      </c>
      <c r="P6" s="260" t="inlineStr">
        <is>
          <t>示意图，不伪装成真实统计</t>
        </is>
      </c>
    </row>
    <row r="7" ht="20" customHeight="1" s="48">
      <c r="A7" s="304" t="str"/>
      <c r="B7" s="256" t="str"/>
      <c r="C7" s="256" t="str"/>
      <c r="D7" s="256" t="str"/>
      <c r="E7" s="256" t="str"/>
      <c r="F7" s="256" t="str"/>
      <c r="G7" s="256" t="str"/>
      <c r="H7" s="256" t="str"/>
      <c r="I7" s="256" t="str"/>
      <c r="J7" s="308" t="str"/>
      <c r="K7" s="256" t="str"/>
      <c r="L7" s="305" t="str"/>
      <c r="M7" s="305" t="str"/>
      <c r="N7" s="256" t="str"/>
      <c r="O7" s="256" t="str"/>
      <c r="P7" s="306" t="str"/>
    </row>
    <row r="8" ht="20" customHeight="1" s="48">
      <c r="A8" s="304" t="str"/>
      <c r="B8" s="256" t="str"/>
      <c r="C8" s="256" t="str"/>
      <c r="D8" s="256" t="str"/>
      <c r="E8" s="256" t="str"/>
      <c r="F8" s="256" t="str"/>
      <c r="G8" s="256" t="str"/>
      <c r="H8" s="256" t="str"/>
      <c r="I8" s="256" t="str"/>
      <c r="J8" s="308" t="str"/>
      <c r="K8" s="256" t="str"/>
      <c r="L8" s="305" t="str"/>
      <c r="M8" s="305" t="str"/>
      <c r="N8" s="256" t="str"/>
      <c r="O8" s="256" t="str"/>
      <c r="P8" s="306" t="str"/>
    </row>
    <row r="9" ht="20" customHeight="1" s="48">
      <c r="A9" s="304" t="str"/>
      <c r="B9" s="256" t="str"/>
      <c r="C9" s="256" t="str"/>
      <c r="D9" s="256" t="str"/>
      <c r="E9" s="256" t="str"/>
      <c r="F9" s="256" t="str"/>
      <c r="G9" s="256" t="str"/>
      <c r="H9" s="256" t="str"/>
      <c r="I9" s="256" t="str"/>
      <c r="J9" s="308" t="str"/>
      <c r="K9" s="256" t="str"/>
      <c r="L9" s="305" t="str"/>
      <c r="M9" s="305" t="str"/>
      <c r="N9" s="256" t="str"/>
      <c r="O9" s="256" t="str"/>
      <c r="P9" s="306" t="str"/>
    </row>
    <row r="10" ht="20" customHeight="1" s="48">
      <c r="A10" s="304" t="str"/>
      <c r="B10" s="256" t="str"/>
      <c r="C10" s="256" t="str"/>
      <c r="D10" s="256" t="str"/>
      <c r="E10" s="256" t="str"/>
      <c r="F10" s="256" t="str"/>
      <c r="G10" s="256" t="str"/>
      <c r="H10" s="256" t="str"/>
      <c r="I10" s="256" t="str"/>
      <c r="J10" s="308" t="str"/>
      <c r="K10" s="256" t="str"/>
      <c r="L10" s="305" t="str"/>
      <c r="M10" s="305" t="str"/>
      <c r="N10" s="256" t="str"/>
      <c r="O10" s="256" t="str"/>
      <c r="P10" s="306" t="str"/>
    </row>
    <row r="11" ht="20" customHeight="1" s="48">
      <c r="A11" s="304" t="str"/>
      <c r="B11" s="256" t="str"/>
      <c r="C11" s="256" t="str"/>
      <c r="D11" s="256" t="str"/>
      <c r="E11" s="256" t="str"/>
      <c r="F11" s="256" t="str"/>
      <c r="G11" s="256" t="str"/>
      <c r="H11" s="256" t="str"/>
      <c r="I11" s="256" t="str"/>
      <c r="J11" s="308" t="str"/>
      <c r="K11" s="256" t="str"/>
      <c r="L11" s="305" t="str"/>
      <c r="M11" s="305" t="str"/>
      <c r="N11" s="256" t="str"/>
      <c r="O11" s="256" t="str"/>
      <c r="P11" s="306" t="str"/>
    </row>
    <row r="12" ht="20" customHeight="1" s="48">
      <c r="A12" s="304" t="str"/>
      <c r="B12" s="256" t="str"/>
      <c r="C12" s="256" t="str"/>
      <c r="D12" s="256" t="str"/>
      <c r="E12" s="256" t="str"/>
      <c r="F12" s="256" t="str"/>
      <c r="G12" s="256" t="str"/>
      <c r="H12" s="256" t="str"/>
      <c r="I12" s="256" t="str"/>
      <c r="J12" s="308" t="str"/>
      <c r="K12" s="256" t="str"/>
      <c r="L12" s="305" t="str"/>
      <c r="M12" s="305" t="str"/>
      <c r="N12" s="256" t="str"/>
      <c r="O12" s="256" t="str"/>
      <c r="P12" s="306" t="str"/>
    </row>
    <row r="13" ht="20" customHeight="1" s="48">
      <c r="A13" s="304" t="str"/>
      <c r="B13" s="256" t="str"/>
      <c r="C13" s="256" t="str"/>
      <c r="D13" s="256" t="str"/>
      <c r="E13" s="256" t="str"/>
      <c r="F13" s="256" t="str"/>
      <c r="G13" s="256" t="str"/>
      <c r="H13" s="256" t="str"/>
      <c r="I13" s="256" t="str"/>
      <c r="J13" s="308" t="str"/>
      <c r="K13" s="256" t="str"/>
      <c r="L13" s="305" t="str"/>
      <c r="M13" s="305" t="str"/>
      <c r="N13" s="256" t="str"/>
      <c r="O13" s="256" t="str"/>
      <c r="P13" s="306" t="str"/>
    </row>
    <row r="14" ht="20" customHeight="1" s="48">
      <c r="A14" s="304" t="str"/>
      <c r="B14" s="256" t="str"/>
      <c r="C14" s="256" t="str"/>
      <c r="D14" s="256" t="str"/>
      <c r="E14" s="256" t="str"/>
      <c r="F14" s="256" t="str"/>
      <c r="G14" s="256" t="str"/>
      <c r="H14" s="256" t="str"/>
      <c r="I14" s="256" t="str"/>
      <c r="J14" s="308" t="str"/>
      <c r="K14" s="256" t="str"/>
      <c r="L14" s="305" t="str"/>
      <c r="M14" s="305" t="str"/>
      <c r="N14" s="256" t="str"/>
      <c r="O14" s="256" t="str"/>
      <c r="P14" s="306" t="str"/>
    </row>
    <row r="15" ht="20" customHeight="1" s="48">
      <c r="A15" s="304" t="str"/>
      <c r="B15" s="256" t="str"/>
      <c r="C15" s="256" t="str"/>
      <c r="D15" s="256" t="str"/>
      <c r="E15" s="256" t="str"/>
      <c r="F15" s="256" t="str"/>
      <c r="G15" s="256" t="str"/>
      <c r="H15" s="256" t="str"/>
      <c r="I15" s="256" t="str"/>
      <c r="J15" s="308" t="str"/>
      <c r="K15" s="256" t="str"/>
      <c r="L15" s="305" t="str"/>
      <c r="M15" s="305" t="str"/>
      <c r="N15" s="256" t="str"/>
      <c r="O15" s="256" t="str"/>
      <c r="P15" s="306" t="str"/>
    </row>
    <row r="16" ht="20" customHeight="1" s="48">
      <c r="A16" s="304" t="str"/>
      <c r="B16" s="256" t="str"/>
      <c r="C16" s="256" t="str"/>
      <c r="D16" s="256" t="str"/>
      <c r="E16" s="256" t="str"/>
      <c r="F16" s="256" t="str"/>
      <c r="G16" s="256" t="str"/>
      <c r="H16" s="256" t="str"/>
      <c r="I16" s="256" t="str"/>
      <c r="J16" s="308" t="str"/>
      <c r="K16" s="256" t="str"/>
      <c r="L16" s="305" t="str"/>
      <c r="M16" s="305" t="str"/>
      <c r="N16" s="256" t="str"/>
      <c r="O16" s="256" t="str"/>
      <c r="P16" s="306" t="str"/>
    </row>
    <row r="17" ht="20" customHeight="1" s="48">
      <c r="A17" s="304" t="str"/>
      <c r="B17" s="256" t="str"/>
      <c r="C17" s="256" t="str"/>
      <c r="D17" s="256" t="str"/>
      <c r="E17" s="256" t="str"/>
      <c r="F17" s="256" t="str"/>
      <c r="G17" s="256" t="str"/>
      <c r="H17" s="256" t="str"/>
      <c r="I17" s="256" t="str"/>
      <c r="J17" s="308" t="str"/>
      <c r="K17" s="256" t="str"/>
      <c r="L17" s="305" t="str"/>
      <c r="M17" s="305" t="str"/>
      <c r="N17" s="256" t="str"/>
      <c r="O17" s="256" t="str"/>
      <c r="P17" s="306" t="str"/>
    </row>
    <row r="18" ht="20" customHeight="1" s="48">
      <c r="A18" s="304" t="str"/>
      <c r="B18" s="256" t="str"/>
      <c r="C18" s="256" t="str"/>
      <c r="D18" s="256" t="str"/>
      <c r="E18" s="256" t="str"/>
      <c r="F18" s="256" t="str"/>
      <c r="G18" s="256" t="str"/>
      <c r="H18" s="256" t="str"/>
      <c r="I18" s="256" t="str"/>
      <c r="J18" s="308" t="str"/>
      <c r="K18" s="256" t="str"/>
      <c r="L18" s="305" t="str"/>
      <c r="M18" s="305" t="str"/>
      <c r="N18" s="256" t="str"/>
      <c r="O18" s="256" t="str"/>
      <c r="P18" s="306" t="str"/>
    </row>
    <row r="19" ht="20" customHeight="1" s="48">
      <c r="A19" s="304" t="str"/>
      <c r="B19" s="256" t="str"/>
      <c r="C19" s="256" t="str"/>
      <c r="D19" s="256" t="str"/>
      <c r="E19" s="256" t="str"/>
      <c r="F19" s="256" t="str"/>
      <c r="G19" s="256" t="str"/>
      <c r="H19" s="256" t="str"/>
      <c r="I19" s="256" t="str"/>
      <c r="J19" s="308" t="str"/>
      <c r="K19" s="256" t="str"/>
      <c r="L19" s="305" t="str"/>
      <c r="M19" s="305" t="str"/>
      <c r="N19" s="256" t="str"/>
      <c r="O19" s="256" t="str"/>
      <c r="P19" s="306" t="str"/>
    </row>
    <row r="20" ht="20" customHeight="1" s="48">
      <c r="A20" s="304" t="str"/>
      <c r="B20" s="256" t="str"/>
      <c r="C20" s="256" t="str"/>
      <c r="D20" s="256" t="str"/>
      <c r="E20" s="256" t="str"/>
      <c r="F20" s="256" t="str"/>
      <c r="G20" s="256" t="str"/>
      <c r="H20" s="256" t="str"/>
      <c r="I20" s="256" t="str"/>
      <c r="J20" s="308" t="str"/>
      <c r="K20" s="256" t="str"/>
      <c r="L20" s="305" t="str"/>
      <c r="M20" s="305" t="str"/>
      <c r="N20" s="256" t="str"/>
      <c r="O20" s="256" t="str"/>
      <c r="P20" s="306" t="str"/>
    </row>
    <row r="21" ht="20" customHeight="1" s="48">
      <c r="A21" s="304" t="str"/>
      <c r="B21" s="256" t="str"/>
      <c r="C21" s="256" t="str"/>
      <c r="D21" s="256" t="str"/>
      <c r="E21" s="256" t="str"/>
      <c r="F21" s="256" t="str"/>
      <c r="G21" s="256" t="str"/>
      <c r="H21" s="256" t="str"/>
      <c r="I21" s="256" t="str"/>
      <c r="J21" s="308" t="str"/>
      <c r="K21" s="256" t="str"/>
      <c r="L21" s="305" t="str"/>
      <c r="M21" s="305" t="str"/>
      <c r="N21" s="256" t="str"/>
      <c r="O21" s="256" t="str"/>
      <c r="P21" s="306" t="str"/>
    </row>
    <row r="22" ht="20" customHeight="1" s="48">
      <c r="A22" s="304" t="str"/>
      <c r="B22" s="256" t="str"/>
      <c r="C22" s="256" t="str"/>
      <c r="D22" s="256" t="str"/>
      <c r="E22" s="256" t="str"/>
      <c r="F22" s="256" t="str"/>
      <c r="G22" s="256" t="str"/>
      <c r="H22" s="256" t="str"/>
      <c r="I22" s="256" t="str"/>
      <c r="J22" s="308" t="str"/>
      <c r="K22" s="256" t="str"/>
      <c r="L22" s="305" t="str"/>
      <c r="M22" s="305" t="str"/>
      <c r="N22" s="256" t="str"/>
      <c r="O22" s="256" t="str"/>
      <c r="P22" s="306" t="str"/>
    </row>
    <row r="23" ht="20" customHeight="1" s="48">
      <c r="A23" s="304" t="str"/>
      <c r="B23" s="256" t="str"/>
      <c r="C23" s="256" t="str"/>
      <c r="D23" s="256" t="str"/>
      <c r="E23" s="256" t="str"/>
      <c r="F23" s="256" t="str"/>
      <c r="G23" s="256" t="str"/>
      <c r="H23" s="256" t="str"/>
      <c r="I23" s="256" t="str"/>
      <c r="J23" s="308" t="str"/>
      <c r="K23" s="256" t="str"/>
      <c r="L23" s="305" t="str"/>
      <c r="M23" s="305" t="str"/>
      <c r="N23" s="256" t="str"/>
      <c r="O23" s="256" t="str"/>
      <c r="P23" s="306" t="str"/>
    </row>
    <row r="24" ht="20" customHeight="1" s="48">
      <c r="A24" s="304" t="str"/>
      <c r="B24" s="256" t="str"/>
      <c r="C24" s="256" t="str"/>
      <c r="D24" s="256" t="str"/>
      <c r="E24" s="256" t="str"/>
      <c r="F24" s="256" t="str"/>
      <c r="G24" s="256" t="str"/>
      <c r="H24" s="256" t="str"/>
      <c r="I24" s="256" t="str"/>
      <c r="J24" s="308" t="str"/>
      <c r="K24" s="256" t="str"/>
      <c r="L24" s="305" t="str"/>
      <c r="M24" s="305" t="str"/>
      <c r="N24" s="256" t="str"/>
      <c r="O24" s="256" t="str"/>
      <c r="P24" s="306" t="str"/>
    </row>
    <row r="25" ht="20" customHeight="1" s="48">
      <c r="A25" s="304" t="str"/>
      <c r="B25" s="256" t="str"/>
      <c r="C25" s="256" t="str"/>
      <c r="D25" s="256" t="str"/>
      <c r="E25" s="256" t="str"/>
      <c r="F25" s="256" t="str"/>
      <c r="G25" s="256" t="str"/>
      <c r="H25" s="256" t="str"/>
      <c r="I25" s="256" t="str"/>
      <c r="J25" s="308" t="str"/>
      <c r="K25" s="256" t="str"/>
      <c r="L25" s="305" t="str"/>
      <c r="M25" s="305" t="str"/>
      <c r="N25" s="256" t="str"/>
      <c r="O25" s="256" t="str"/>
      <c r="P25" s="306" t="str"/>
    </row>
    <row r="26" ht="20" customHeight="1" s="48">
      <c r="A26" s="304" t="str"/>
      <c r="B26" s="256" t="str"/>
      <c r="C26" s="256" t="str"/>
      <c r="D26" s="256" t="str"/>
      <c r="E26" s="256" t="str"/>
      <c r="F26" s="256" t="str"/>
      <c r="G26" s="256" t="str"/>
      <c r="H26" s="256" t="str"/>
      <c r="I26" s="256" t="str"/>
      <c r="J26" s="308" t="str"/>
      <c r="K26" s="256" t="str"/>
      <c r="L26" s="305" t="str"/>
      <c r="M26" s="305" t="str"/>
      <c r="N26" s="256" t="str"/>
      <c r="O26" s="256" t="str"/>
      <c r="P26" s="306" t="str"/>
    </row>
    <row r="27" ht="20" customHeight="1" s="48">
      <c r="A27" s="304" t="str"/>
      <c r="B27" s="256" t="str"/>
      <c r="C27" s="256" t="str"/>
      <c r="D27" s="256" t="str"/>
      <c r="E27" s="256" t="str"/>
      <c r="F27" s="256" t="str"/>
      <c r="G27" s="256" t="str"/>
      <c r="H27" s="256" t="str"/>
      <c r="I27" s="256" t="str"/>
      <c r="J27" s="308" t="str"/>
      <c r="K27" s="256" t="str"/>
      <c r="L27" s="305" t="str"/>
      <c r="M27" s="305" t="str"/>
      <c r="N27" s="256" t="str"/>
      <c r="O27" s="256" t="str"/>
      <c r="P27" s="306" t="str"/>
    </row>
    <row r="28" ht="20" customHeight="1" s="48">
      <c r="A28" s="304" t="str"/>
      <c r="B28" s="256" t="str"/>
      <c r="C28" s="256" t="str"/>
      <c r="D28" s="256" t="str"/>
      <c r="E28" s="256" t="str"/>
      <c r="F28" s="256" t="str"/>
      <c r="G28" s="256" t="str"/>
      <c r="H28" s="256" t="str"/>
      <c r="I28" s="256" t="str"/>
      <c r="J28" s="308" t="str"/>
      <c r="K28" s="256" t="str"/>
      <c r="L28" s="305" t="str"/>
      <c r="M28" s="305" t="str"/>
      <c r="N28" s="256" t="str"/>
      <c r="O28" s="256" t="str"/>
      <c r="P28" s="306" t="str"/>
    </row>
    <row r="29" ht="20" customHeight="1" s="48">
      <c r="A29" s="304" t="str"/>
      <c r="B29" s="256" t="str"/>
      <c r="C29" s="256" t="str"/>
      <c r="D29" s="256" t="str"/>
      <c r="E29" s="256" t="str"/>
      <c r="F29" s="256" t="str"/>
      <c r="G29" s="256" t="str"/>
      <c r="H29" s="256" t="str"/>
      <c r="I29" s="256" t="str"/>
      <c r="J29" s="308" t="str"/>
      <c r="K29" s="256" t="str"/>
      <c r="L29" s="305" t="str"/>
      <c r="M29" s="305" t="str"/>
      <c r="N29" s="256" t="str"/>
      <c r="O29" s="256" t="str"/>
      <c r="P29" s="306" t="str"/>
    </row>
    <row r="30" ht="20" customHeight="1" s="48">
      <c r="A30" s="304" t="str"/>
      <c r="B30" s="256" t="str"/>
      <c r="C30" s="256" t="str"/>
      <c r="D30" s="256" t="str"/>
      <c r="E30" s="256" t="str"/>
      <c r="F30" s="256" t="str"/>
      <c r="G30" s="256" t="str"/>
      <c r="H30" s="256" t="str"/>
      <c r="I30" s="256" t="str"/>
      <c r="J30" s="308" t="str"/>
      <c r="K30" s="256" t="str"/>
      <c r="L30" s="305" t="str"/>
      <c r="M30" s="305" t="str"/>
      <c r="N30" s="256" t="str"/>
      <c r="O30" s="256" t="str"/>
      <c r="P30" s="306" t="str"/>
    </row>
    <row r="31" ht="20" customHeight="1" s="48">
      <c r="A31" s="304" t="str"/>
      <c r="B31" s="256" t="str"/>
      <c r="C31" s="256" t="str"/>
      <c r="D31" s="256" t="str"/>
      <c r="E31" s="256" t="str"/>
      <c r="F31" s="256" t="str"/>
      <c r="G31" s="256" t="str"/>
      <c r="H31" s="256" t="str"/>
      <c r="I31" s="256" t="str"/>
      <c r="J31" s="308" t="str"/>
      <c r="K31" s="256" t="str"/>
      <c r="L31" s="305" t="str"/>
      <c r="M31" s="305" t="str"/>
      <c r="N31" s="256" t="str"/>
      <c r="O31" s="256" t="str"/>
      <c r="P31" s="306" t="str"/>
    </row>
    <row r="32" ht="20" customHeight="1" s="48">
      <c r="A32" s="304" t="str"/>
      <c r="B32" s="256" t="str"/>
      <c r="C32" s="256" t="str"/>
      <c r="D32" s="256" t="str"/>
      <c r="E32" s="256" t="str"/>
      <c r="F32" s="256" t="str"/>
      <c r="G32" s="256" t="str"/>
      <c r="H32" s="256" t="str"/>
      <c r="I32" s="256" t="str"/>
      <c r="J32" s="308" t="str"/>
      <c r="K32" s="256" t="str"/>
      <c r="L32" s="305" t="str"/>
      <c r="M32" s="305" t="str"/>
      <c r="N32" s="256" t="str"/>
      <c r="O32" s="256" t="str"/>
      <c r="P32" s="306" t="str"/>
    </row>
    <row r="33" ht="20" customHeight="1" s="48">
      <c r="A33" s="304" t="str"/>
      <c r="B33" s="256" t="str"/>
      <c r="C33" s="256" t="str"/>
      <c r="D33" s="256" t="str"/>
      <c r="E33" s="256" t="str"/>
      <c r="F33" s="256" t="str"/>
      <c r="G33" s="256" t="str"/>
      <c r="H33" s="256" t="str"/>
      <c r="I33" s="256" t="str"/>
      <c r="J33" s="308" t="str"/>
      <c r="K33" s="256" t="str"/>
      <c r="L33" s="305" t="str"/>
      <c r="M33" s="305" t="str"/>
      <c r="N33" s="256" t="str"/>
      <c r="O33" s="256" t="str"/>
      <c r="P33" s="306" t="str"/>
    </row>
    <row r="34" ht="20" customHeight="1" s="48">
      <c r="A34" s="304" t="str"/>
      <c r="B34" s="256" t="str"/>
      <c r="C34" s="256" t="str"/>
      <c r="D34" s="256" t="str"/>
      <c r="E34" s="256" t="str"/>
      <c r="F34" s="256" t="str"/>
      <c r="G34" s="256" t="str"/>
      <c r="H34" s="256" t="str"/>
      <c r="I34" s="256" t="str"/>
      <c r="J34" s="308" t="str"/>
      <c r="K34" s="256" t="str"/>
      <c r="L34" s="305" t="str"/>
      <c r="M34" s="305" t="str"/>
      <c r="N34" s="256" t="str"/>
      <c r="O34" s="256" t="str"/>
      <c r="P34" s="306" t="str"/>
    </row>
    <row r="35" ht="20" customHeight="1" s="48">
      <c r="A35" s="304" t="str"/>
      <c r="B35" s="256" t="str"/>
      <c r="C35" s="256" t="str"/>
      <c r="D35" s="256" t="str"/>
      <c r="E35" s="256" t="str"/>
      <c r="F35" s="256" t="str"/>
      <c r="G35" s="256" t="str"/>
      <c r="H35" s="256" t="str"/>
      <c r="I35" s="256" t="str"/>
      <c r="J35" s="308" t="str"/>
      <c r="K35" s="256" t="str"/>
      <c r="L35" s="305" t="str"/>
      <c r="M35" s="305" t="str"/>
      <c r="N35" s="256" t="str"/>
      <c r="O35" s="256" t="str"/>
      <c r="P35" s="306" t="str"/>
    </row>
    <row r="36" ht="20" customHeight="1" s="48">
      <c r="A36" s="304" t="str"/>
      <c r="B36" s="256" t="str"/>
      <c r="C36" s="256" t="str"/>
      <c r="D36" s="256" t="str"/>
      <c r="E36" s="256" t="str"/>
      <c r="F36" s="256" t="str"/>
      <c r="G36" s="256" t="str"/>
      <c r="H36" s="256" t="str"/>
      <c r="I36" s="256" t="str"/>
      <c r="J36" s="308" t="str"/>
      <c r="K36" s="256" t="str"/>
      <c r="L36" s="305" t="str"/>
      <c r="M36" s="305" t="str"/>
      <c r="N36" s="256" t="str"/>
      <c r="O36" s="256" t="str"/>
      <c r="P36" s="306" t="str"/>
    </row>
    <row r="37" ht="20" customHeight="1" s="48">
      <c r="A37" s="304" t="str"/>
      <c r="B37" s="256" t="str"/>
      <c r="C37" s="256" t="str"/>
      <c r="D37" s="256" t="str"/>
      <c r="E37" s="256" t="str"/>
      <c r="F37" s="256" t="str"/>
      <c r="G37" s="256" t="str"/>
      <c r="H37" s="256" t="str"/>
      <c r="I37" s="256" t="str"/>
      <c r="J37" s="308" t="str"/>
      <c r="K37" s="256" t="str"/>
      <c r="L37" s="305" t="str"/>
      <c r="M37" s="305" t="str"/>
      <c r="N37" s="256" t="str"/>
      <c r="O37" s="256" t="str"/>
      <c r="P37" s="306" t="str"/>
    </row>
    <row r="38" ht="20" customHeight="1" s="48">
      <c r="A38" s="304" t="str"/>
      <c r="B38" s="256" t="str"/>
      <c r="C38" s="256" t="str"/>
      <c r="D38" s="256" t="str"/>
      <c r="E38" s="256" t="str"/>
      <c r="F38" s="256" t="str"/>
      <c r="G38" s="256" t="str"/>
      <c r="H38" s="256" t="str"/>
      <c r="I38" s="256" t="str"/>
      <c r="J38" s="308" t="str"/>
      <c r="K38" s="256" t="str"/>
      <c r="L38" s="305" t="str"/>
      <c r="M38" s="305" t="str"/>
      <c r="N38" s="256" t="str"/>
      <c r="O38" s="256" t="str"/>
      <c r="P38" s="306" t="str"/>
    </row>
    <row r="39" ht="20" customHeight="1" s="48">
      <c r="A39" s="304" t="str"/>
      <c r="B39" s="256" t="str"/>
      <c r="C39" s="256" t="str"/>
      <c r="D39" s="256" t="str"/>
      <c r="E39" s="256" t="str"/>
      <c r="F39" s="256" t="str"/>
      <c r="G39" s="256" t="str"/>
      <c r="H39" s="256" t="str"/>
      <c r="I39" s="256" t="str"/>
      <c r="J39" s="308" t="str"/>
      <c r="K39" s="256" t="str"/>
      <c r="L39" s="305" t="str"/>
      <c r="M39" s="305" t="str"/>
      <c r="N39" s="256" t="str"/>
      <c r="O39" s="256" t="str"/>
      <c r="P39" s="306" t="str"/>
    </row>
    <row r="40" ht="20" customHeight="1" s="48">
      <c r="A40" s="304" t="str"/>
      <c r="B40" s="256" t="str"/>
      <c r="C40" s="256" t="str"/>
      <c r="D40" s="256" t="str"/>
      <c r="E40" s="256" t="str"/>
      <c r="F40" s="256" t="str"/>
      <c r="G40" s="256" t="str"/>
      <c r="H40" s="256" t="str"/>
      <c r="I40" s="256" t="str"/>
      <c r="J40" s="308" t="str"/>
      <c r="K40" s="256" t="str"/>
      <c r="L40" s="305" t="str"/>
      <c r="M40" s="305" t="str"/>
      <c r="N40" s="256" t="str"/>
      <c r="O40" s="256" t="str"/>
      <c r="P40" s="306" t="str"/>
    </row>
    <row r="41" ht="20" customHeight="1" s="48">
      <c r="A41" s="304" t="str"/>
      <c r="B41" s="256" t="str"/>
      <c r="C41" s="256" t="str"/>
      <c r="D41" s="256" t="str"/>
      <c r="E41" s="256" t="str"/>
      <c r="F41" s="256" t="str"/>
      <c r="G41" s="256" t="str"/>
      <c r="H41" s="256" t="str"/>
      <c r="I41" s="256" t="str"/>
      <c r="J41" s="308" t="str"/>
      <c r="K41" s="256" t="str"/>
      <c r="L41" s="305" t="str"/>
      <c r="M41" s="305" t="str"/>
      <c r="N41" s="256" t="str"/>
      <c r="O41" s="256" t="str"/>
      <c r="P41" s="306" t="str"/>
    </row>
    <row r="42" ht="20" customHeight="1" s="48">
      <c r="A42" s="304" t="str"/>
      <c r="B42" s="256" t="str"/>
      <c r="C42" s="256" t="str"/>
      <c r="D42" s="256" t="str"/>
      <c r="E42" s="256" t="str"/>
      <c r="F42" s="256" t="str"/>
      <c r="G42" s="256" t="str"/>
      <c r="H42" s="256" t="str"/>
      <c r="I42" s="256" t="str"/>
      <c r="J42" s="308" t="str"/>
      <c r="K42" s="256" t="str"/>
      <c r="L42" s="305" t="str"/>
      <c r="M42" s="305" t="str"/>
      <c r="N42" s="256" t="str"/>
      <c r="O42" s="256" t="str"/>
      <c r="P42" s="306" t="str"/>
    </row>
    <row r="43" ht="20" customHeight="1" s="48">
      <c r="A43" s="304" t="str"/>
      <c r="B43" s="256" t="str"/>
      <c r="C43" s="256" t="str"/>
      <c r="D43" s="256" t="str"/>
      <c r="E43" s="256" t="str"/>
      <c r="F43" s="256" t="str"/>
      <c r="G43" s="256" t="str"/>
      <c r="H43" s="256" t="str"/>
      <c r="I43" s="256" t="str"/>
      <c r="J43" s="308" t="str"/>
      <c r="K43" s="256" t="str"/>
      <c r="L43" s="305" t="str"/>
      <c r="M43" s="305" t="str"/>
      <c r="N43" s="256" t="str"/>
      <c r="O43" s="256" t="str"/>
      <c r="P43" s="306" t="str"/>
    </row>
    <row r="44" ht="20" customHeight="1" s="48">
      <c r="A44" s="304" t="str"/>
      <c r="B44" s="256" t="str"/>
      <c r="C44" s="256" t="str"/>
      <c r="D44" s="256" t="str"/>
      <c r="E44" s="256" t="str"/>
      <c r="F44" s="256" t="str"/>
      <c r="G44" s="256" t="str"/>
      <c r="H44" s="256" t="str"/>
      <c r="I44" s="256" t="str"/>
      <c r="J44" s="308" t="str"/>
      <c r="K44" s="256" t="str"/>
      <c r="L44" s="305" t="str"/>
      <c r="M44" s="305" t="str"/>
      <c r="N44" s="256" t="str"/>
      <c r="O44" s="256" t="str"/>
      <c r="P44" s="306" t="str"/>
    </row>
    <row r="45" ht="20" customHeight="1" s="48">
      <c r="A45" s="304" t="str"/>
      <c r="B45" s="256" t="str"/>
      <c r="C45" s="256" t="str"/>
      <c r="D45" s="256" t="str"/>
      <c r="E45" s="256" t="str"/>
      <c r="F45" s="256" t="str"/>
      <c r="G45" s="256" t="str"/>
      <c r="H45" s="256" t="str"/>
      <c r="I45" s="256" t="str"/>
      <c r="J45" s="308" t="str"/>
      <c r="K45" s="256" t="str"/>
      <c r="L45" s="305" t="str"/>
      <c r="M45" s="305" t="str"/>
      <c r="N45" s="256" t="str"/>
      <c r="O45" s="256" t="str"/>
      <c r="P45" s="306" t="str"/>
    </row>
    <row r="46" ht="20" customHeight="1" s="48">
      <c r="A46" s="304" t="str"/>
      <c r="B46" s="256" t="str"/>
      <c r="C46" s="256" t="str"/>
      <c r="D46" s="256" t="str"/>
      <c r="E46" s="256" t="str"/>
      <c r="F46" s="256" t="str"/>
      <c r="G46" s="256" t="str"/>
      <c r="H46" s="256" t="str"/>
      <c r="I46" s="256" t="str"/>
      <c r="J46" s="308" t="str"/>
      <c r="K46" s="256" t="str"/>
      <c r="L46" s="305" t="str"/>
      <c r="M46" s="305" t="str"/>
      <c r="N46" s="256" t="str"/>
      <c r="O46" s="256" t="str"/>
      <c r="P46" s="306" t="str"/>
    </row>
    <row r="47" ht="20" customHeight="1" s="48">
      <c r="A47" s="304" t="str"/>
      <c r="B47" s="256" t="str"/>
      <c r="C47" s="256" t="str"/>
      <c r="D47" s="256" t="str"/>
      <c r="E47" s="256" t="str"/>
      <c r="F47" s="256" t="str"/>
      <c r="G47" s="256" t="str"/>
      <c r="H47" s="256" t="str"/>
      <c r="I47" s="256" t="str"/>
      <c r="J47" s="308" t="str"/>
      <c r="K47" s="256" t="str"/>
      <c r="L47" s="305" t="str"/>
      <c r="M47" s="305" t="str"/>
      <c r="N47" s="256" t="str"/>
      <c r="O47" s="256" t="str"/>
      <c r="P47" s="306" t="str"/>
    </row>
    <row r="48" ht="20" customHeight="1" s="48">
      <c r="A48" s="304" t="str"/>
      <c r="B48" s="256" t="str"/>
      <c r="C48" s="256" t="str"/>
      <c r="D48" s="256" t="str"/>
      <c r="E48" s="256" t="str"/>
      <c r="F48" s="256" t="str"/>
      <c r="G48" s="256" t="str"/>
      <c r="H48" s="256" t="str"/>
      <c r="I48" s="256" t="str"/>
      <c r="J48" s="308" t="str"/>
      <c r="K48" s="256" t="str"/>
      <c r="L48" s="305" t="str"/>
      <c r="M48" s="305" t="str"/>
      <c r="N48" s="256" t="str"/>
      <c r="O48" s="256" t="str"/>
      <c r="P48" s="306" t="str"/>
    </row>
    <row r="49" ht="20" customHeight="1" s="48">
      <c r="A49" s="304" t="str"/>
      <c r="B49" s="256" t="str"/>
      <c r="C49" s="256" t="str"/>
      <c r="D49" s="256" t="str"/>
      <c r="E49" s="256" t="str"/>
      <c r="F49" s="256" t="str"/>
      <c r="G49" s="256" t="str"/>
      <c r="H49" s="256" t="str"/>
      <c r="I49" s="256" t="str"/>
      <c r="J49" s="308" t="str"/>
      <c r="K49" s="256" t="str"/>
      <c r="L49" s="305" t="str"/>
      <c r="M49" s="305" t="str"/>
      <c r="N49" s="256" t="str"/>
      <c r="O49" s="256" t="str"/>
      <c r="P49" s="306" t="str"/>
    </row>
    <row r="50" ht="20" customHeight="1" s="48">
      <c r="A50" s="304" t="str"/>
      <c r="B50" s="256" t="str"/>
      <c r="C50" s="256" t="str"/>
      <c r="D50" s="256" t="str"/>
      <c r="E50" s="256" t="str"/>
      <c r="F50" s="256" t="str"/>
      <c r="G50" s="256" t="str"/>
      <c r="H50" s="256" t="str"/>
      <c r="I50" s="256" t="str"/>
      <c r="J50" s="308" t="str"/>
      <c r="K50" s="256" t="str"/>
      <c r="L50" s="305" t="str"/>
      <c r="M50" s="305" t="str"/>
      <c r="N50" s="256" t="str"/>
      <c r="O50" s="256" t="str"/>
      <c r="P50" s="306" t="str"/>
    </row>
    <row r="51" ht="20" customHeight="1" s="48">
      <c r="A51" s="304" t="str"/>
      <c r="B51" s="256" t="str"/>
      <c r="C51" s="256" t="str"/>
      <c r="D51" s="256" t="str"/>
      <c r="E51" s="256" t="str"/>
      <c r="F51" s="256" t="str"/>
      <c r="G51" s="256" t="str"/>
      <c r="H51" s="256" t="str"/>
      <c r="I51" s="256" t="str"/>
      <c r="J51" s="308" t="str"/>
      <c r="K51" s="256" t="str"/>
      <c r="L51" s="305" t="str"/>
      <c r="M51" s="305" t="str"/>
      <c r="N51" s="256" t="str"/>
      <c r="O51" s="256" t="str"/>
      <c r="P51" s="306" t="str"/>
    </row>
    <row r="52" ht="20" customHeight="1" s="48">
      <c r="A52" s="304" t="str"/>
      <c r="B52" s="256" t="str"/>
      <c r="C52" s="256" t="str"/>
      <c r="D52" s="256" t="str"/>
      <c r="E52" s="256" t="str"/>
      <c r="F52" s="256" t="str"/>
      <c r="G52" s="256" t="str"/>
      <c r="H52" s="256" t="str"/>
      <c r="I52" s="256" t="str"/>
      <c r="J52" s="308" t="str"/>
      <c r="K52" s="256" t="str"/>
      <c r="L52" s="305" t="str"/>
      <c r="M52" s="305" t="str"/>
      <c r="N52" s="256" t="str"/>
      <c r="O52" s="256" t="str"/>
      <c r="P52" s="306" t="str"/>
    </row>
    <row r="53" ht="20" customHeight="1" s="48">
      <c r="A53" s="304" t="str"/>
      <c r="B53" s="256" t="str"/>
      <c r="C53" s="256" t="str"/>
      <c r="D53" s="256" t="str"/>
      <c r="E53" s="256" t="str"/>
      <c r="F53" s="256" t="str"/>
      <c r="G53" s="256" t="str"/>
      <c r="H53" s="256" t="str"/>
      <c r="I53" s="256" t="str"/>
      <c r="J53" s="308" t="str"/>
      <c r="K53" s="256" t="str"/>
      <c r="L53" s="305" t="str"/>
      <c r="M53" s="305" t="str"/>
      <c r="N53" s="256" t="str"/>
      <c r="O53" s="256" t="str"/>
      <c r="P53" s="306" t="str"/>
    </row>
    <row r="54" ht="20" customHeight="1" s="48">
      <c r="A54" s="304" t="str"/>
      <c r="B54" s="256" t="str"/>
      <c r="C54" s="256" t="str"/>
      <c r="D54" s="256" t="str"/>
      <c r="E54" s="256" t="str"/>
      <c r="F54" s="256" t="str"/>
      <c r="G54" s="256" t="str"/>
      <c r="H54" s="256" t="str"/>
      <c r="I54" s="256" t="str"/>
      <c r="J54" s="308" t="str"/>
      <c r="K54" s="256" t="str"/>
      <c r="L54" s="305" t="str"/>
      <c r="M54" s="305" t="str"/>
      <c r="N54" s="256" t="str"/>
      <c r="O54" s="256" t="str"/>
      <c r="P54" s="306" t="str"/>
    </row>
    <row r="55" ht="20" customHeight="1" s="48">
      <c r="A55" s="304" t="str"/>
      <c r="B55" s="256" t="str"/>
      <c r="C55" s="256" t="str"/>
      <c r="D55" s="256" t="str"/>
      <c r="E55" s="256" t="str"/>
      <c r="F55" s="256" t="str"/>
      <c r="G55" s="256" t="str"/>
      <c r="H55" s="256" t="str"/>
      <c r="I55" s="256" t="str"/>
      <c r="J55" s="308" t="str"/>
      <c r="K55" s="256" t="str"/>
      <c r="L55" s="305" t="str"/>
      <c r="M55" s="305" t="str"/>
      <c r="N55" s="256" t="str"/>
      <c r="O55" s="256" t="str"/>
      <c r="P55" s="306" t="str"/>
    </row>
    <row r="56" ht="20" customHeight="1" s="48">
      <c r="A56" s="304" t="str"/>
      <c r="B56" s="256" t="str"/>
      <c r="C56" s="256" t="str"/>
      <c r="D56" s="256" t="str"/>
      <c r="E56" s="256" t="str"/>
      <c r="F56" s="256" t="str"/>
      <c r="G56" s="256" t="str"/>
      <c r="H56" s="256" t="str"/>
      <c r="I56" s="256" t="str"/>
      <c r="J56" s="308" t="str"/>
      <c r="K56" s="256" t="str"/>
      <c r="L56" s="305" t="str"/>
      <c r="M56" s="305" t="str"/>
      <c r="N56" s="256" t="str"/>
      <c r="O56" s="256" t="str"/>
      <c r="P56" s="306" t="str"/>
    </row>
    <row r="57" ht="20" customHeight="1" s="48">
      <c r="A57" s="304" t="str"/>
      <c r="B57" s="256" t="str"/>
      <c r="C57" s="256" t="str"/>
      <c r="D57" s="256" t="str"/>
      <c r="E57" s="256" t="str"/>
      <c r="F57" s="256" t="str"/>
      <c r="G57" s="256" t="str"/>
      <c r="H57" s="256" t="str"/>
      <c r="I57" s="256" t="str"/>
      <c r="J57" s="308" t="str"/>
      <c r="K57" s="256" t="str"/>
      <c r="L57" s="305" t="str"/>
      <c r="M57" s="305" t="str"/>
      <c r="N57" s="256" t="str"/>
      <c r="O57" s="256" t="str"/>
      <c r="P57" s="306" t="str"/>
    </row>
    <row r="58" ht="20" customHeight="1" s="48">
      <c r="A58" s="304" t="str"/>
      <c r="B58" s="256" t="str"/>
      <c r="C58" s="256" t="str"/>
      <c r="D58" s="256" t="str"/>
      <c r="E58" s="256" t="str"/>
      <c r="F58" s="256" t="str"/>
      <c r="G58" s="256" t="str"/>
      <c r="H58" s="256" t="str"/>
      <c r="I58" s="256" t="str"/>
      <c r="J58" s="308" t="str"/>
      <c r="K58" s="256" t="str"/>
      <c r="L58" s="305" t="str"/>
      <c r="M58" s="305" t="str"/>
      <c r="N58" s="256" t="str"/>
      <c r="O58" s="256" t="str"/>
      <c r="P58" s="306" t="str"/>
    </row>
    <row r="59" ht="20" customHeight="1" s="48">
      <c r="A59" s="304" t="str"/>
      <c r="B59" s="256" t="str"/>
      <c r="C59" s="256" t="str"/>
      <c r="D59" s="256" t="str"/>
      <c r="E59" s="256" t="str"/>
      <c r="F59" s="256" t="str"/>
      <c r="G59" s="256" t="str"/>
      <c r="H59" s="256" t="str"/>
      <c r="I59" s="256" t="str"/>
      <c r="J59" s="308" t="str"/>
      <c r="K59" s="256" t="str"/>
      <c r="L59" s="305" t="str"/>
      <c r="M59" s="305" t="str"/>
      <c r="N59" s="256" t="str"/>
      <c r="O59" s="256" t="str"/>
      <c r="P59" s="306" t="str"/>
    </row>
    <row r="60" ht="20" customHeight="1" s="48">
      <c r="A60" s="304" t="str"/>
      <c r="B60" s="256" t="str"/>
      <c r="C60" s="256" t="str"/>
      <c r="D60" s="256" t="str"/>
      <c r="E60" s="256" t="str"/>
      <c r="F60" s="256" t="str"/>
      <c r="G60" s="256" t="str"/>
      <c r="H60" s="256" t="str"/>
      <c r="I60" s="256" t="str"/>
      <c r="J60" s="308" t="str"/>
      <c r="K60" s="256" t="str"/>
      <c r="L60" s="305" t="str"/>
      <c r="M60" s="305" t="str"/>
      <c r="N60" s="256" t="str"/>
      <c r="O60" s="256" t="str"/>
      <c r="P60" s="306" t="str"/>
    </row>
    <row r="61" ht="20" customHeight="1" s="48">
      <c r="A61" s="304" t="str"/>
      <c r="B61" s="256" t="str"/>
      <c r="C61" s="256" t="str"/>
      <c r="D61" s="256" t="str"/>
      <c r="E61" s="256" t="str"/>
      <c r="F61" s="256" t="str"/>
      <c r="G61" s="256" t="str"/>
      <c r="H61" s="256" t="str"/>
      <c r="I61" s="256" t="str"/>
      <c r="J61" s="308" t="str"/>
      <c r="K61" s="256" t="str"/>
      <c r="L61" s="305" t="str"/>
      <c r="M61" s="305" t="str"/>
      <c r="N61" s="256" t="str"/>
      <c r="O61" s="256" t="str"/>
      <c r="P61" s="306" t="str"/>
    </row>
    <row r="62" ht="20" customHeight="1" s="48">
      <c r="A62" s="304" t="str"/>
      <c r="B62" s="256" t="str"/>
      <c r="C62" s="256" t="str"/>
      <c r="D62" s="256" t="str"/>
      <c r="E62" s="256" t="str"/>
      <c r="F62" s="256" t="str"/>
      <c r="G62" s="256" t="str"/>
      <c r="H62" s="256" t="str"/>
      <c r="I62" s="256" t="str"/>
      <c r="J62" s="308" t="str"/>
      <c r="K62" s="256" t="str"/>
      <c r="L62" s="305" t="str"/>
      <c r="M62" s="305" t="str"/>
      <c r="N62" s="256" t="str"/>
      <c r="O62" s="256" t="str"/>
      <c r="P62" s="306" t="str"/>
    </row>
    <row r="63" ht="20" customHeight="1" s="48">
      <c r="A63" s="304" t="str"/>
      <c r="B63" s="256" t="str"/>
      <c r="C63" s="256" t="str"/>
      <c r="D63" s="256" t="str"/>
      <c r="E63" s="256" t="str"/>
      <c r="F63" s="256" t="str"/>
      <c r="G63" s="256" t="str"/>
      <c r="H63" s="256" t="str"/>
      <c r="I63" s="256" t="str"/>
      <c r="J63" s="308" t="str"/>
      <c r="K63" s="256" t="str"/>
      <c r="L63" s="305" t="str"/>
      <c r="M63" s="305" t="str"/>
      <c r="N63" s="256" t="str"/>
      <c r="O63" s="256" t="str"/>
      <c r="P63" s="306" t="str"/>
    </row>
    <row r="64" ht="20" customHeight="1" s="48">
      <c r="A64" s="304" t="str"/>
      <c r="B64" s="256" t="str"/>
      <c r="C64" s="256" t="str"/>
      <c r="D64" s="256" t="str"/>
      <c r="E64" s="256" t="str"/>
      <c r="F64" s="256" t="str"/>
      <c r="G64" s="256" t="str"/>
      <c r="H64" s="256" t="str"/>
      <c r="I64" s="256" t="str"/>
      <c r="J64" s="308" t="str"/>
      <c r="K64" s="256" t="str"/>
      <c r="L64" s="305" t="str"/>
      <c r="M64" s="305" t="str"/>
      <c r="N64" s="256" t="str"/>
      <c r="O64" s="256" t="str"/>
      <c r="P64" s="306" t="str"/>
    </row>
    <row r="65" ht="20" customHeight="1" s="48">
      <c r="A65" s="304" t="str"/>
      <c r="B65" s="256" t="str"/>
      <c r="C65" s="256" t="str"/>
      <c r="D65" s="256" t="str"/>
      <c r="E65" s="256" t="str"/>
      <c r="F65" s="256" t="str"/>
      <c r="G65" s="256" t="str"/>
      <c r="H65" s="256" t="str"/>
      <c r="I65" s="256" t="str"/>
      <c r="J65" s="308" t="str"/>
      <c r="K65" s="256" t="str"/>
      <c r="L65" s="305" t="str"/>
      <c r="M65" s="305" t="str"/>
      <c r="N65" s="256" t="str"/>
      <c r="O65" s="256" t="str"/>
      <c r="P65" s="306" t="str"/>
    </row>
    <row r="66" ht="20" customHeight="1" s="48">
      <c r="A66" s="304" t="str"/>
      <c r="B66" s="256" t="str"/>
      <c r="C66" s="256" t="str"/>
      <c r="D66" s="256" t="str"/>
      <c r="E66" s="256" t="str"/>
      <c r="F66" s="256" t="str"/>
      <c r="G66" s="256" t="str"/>
      <c r="H66" s="256" t="str"/>
      <c r="I66" s="256" t="str"/>
      <c r="J66" s="308" t="str"/>
      <c r="K66" s="256" t="str"/>
      <c r="L66" s="305" t="str"/>
      <c r="M66" s="305" t="str"/>
      <c r="N66" s="256" t="str"/>
      <c r="O66" s="256" t="str"/>
      <c r="P66" s="306" t="str"/>
    </row>
    <row r="67" ht="20" customHeight="1" s="48">
      <c r="A67" s="304" t="str"/>
      <c r="B67" s="256" t="str"/>
      <c r="C67" s="256" t="str"/>
      <c r="D67" s="256" t="str"/>
      <c r="E67" s="256" t="str"/>
      <c r="F67" s="256" t="str"/>
      <c r="G67" s="256" t="str"/>
      <c r="H67" s="256" t="str"/>
      <c r="I67" s="256" t="str"/>
      <c r="J67" s="308" t="str"/>
      <c r="K67" s="256" t="str"/>
      <c r="L67" s="305" t="str"/>
      <c r="M67" s="305" t="str"/>
      <c r="N67" s="256" t="str"/>
      <c r="O67" s="256" t="str"/>
      <c r="P67" s="306" t="str"/>
    </row>
    <row r="68" ht="20" customHeight="1" s="48">
      <c r="A68" s="304" t="str"/>
      <c r="B68" s="256" t="str"/>
      <c r="C68" s="256" t="str"/>
      <c r="D68" s="256" t="str"/>
      <c r="E68" s="256" t="str"/>
      <c r="F68" s="256" t="str"/>
      <c r="G68" s="256" t="str"/>
      <c r="H68" s="256" t="str"/>
      <c r="I68" s="256" t="str"/>
      <c r="J68" s="308" t="str"/>
      <c r="K68" s="256" t="str"/>
      <c r="L68" s="305" t="str"/>
      <c r="M68" s="305" t="str"/>
      <c r="N68" s="256" t="str"/>
      <c r="O68" s="256" t="str"/>
      <c r="P68" s="306" t="str"/>
    </row>
    <row r="69" ht="20" customHeight="1" s="48">
      <c r="A69" s="304" t="str"/>
      <c r="B69" s="256" t="str"/>
      <c r="C69" s="256" t="str"/>
      <c r="D69" s="256" t="str"/>
      <c r="E69" s="256" t="str"/>
      <c r="F69" s="256" t="str"/>
      <c r="G69" s="256" t="str"/>
      <c r="H69" s="256" t="str"/>
      <c r="I69" s="256" t="str"/>
      <c r="J69" s="308" t="str"/>
      <c r="K69" s="256" t="str"/>
      <c r="L69" s="305" t="str"/>
      <c r="M69" s="305" t="str"/>
      <c r="N69" s="256" t="str"/>
      <c r="O69" s="256" t="str"/>
      <c r="P69" s="306" t="str"/>
    </row>
    <row r="70" ht="20" customHeight="1" s="48">
      <c r="A70" s="304" t="str"/>
      <c r="B70" s="256" t="str"/>
      <c r="C70" s="256" t="str"/>
      <c r="D70" s="256" t="str"/>
      <c r="E70" s="256" t="str"/>
      <c r="F70" s="256" t="str"/>
      <c r="G70" s="256" t="str"/>
      <c r="H70" s="256" t="str"/>
      <c r="I70" s="256" t="str"/>
      <c r="J70" s="308" t="str"/>
      <c r="K70" s="256" t="str"/>
      <c r="L70" s="305" t="str"/>
      <c r="M70" s="305" t="str"/>
      <c r="N70" s="256" t="str"/>
      <c r="O70" s="256" t="str"/>
      <c r="P70" s="306" t="str"/>
    </row>
    <row r="71" ht="20" customHeight="1" s="48">
      <c r="A71" s="304" t="str"/>
      <c r="B71" s="256" t="str"/>
      <c r="C71" s="256" t="str"/>
      <c r="D71" s="256" t="str"/>
      <c r="E71" s="256" t="str"/>
      <c r="F71" s="256" t="str"/>
      <c r="G71" s="256" t="str"/>
      <c r="H71" s="256" t="str"/>
      <c r="I71" s="256" t="str"/>
      <c r="J71" s="308" t="str"/>
      <c r="K71" s="256" t="str"/>
      <c r="L71" s="305" t="str"/>
      <c r="M71" s="305" t="str"/>
      <c r="N71" s="256" t="str"/>
      <c r="O71" s="256" t="str"/>
      <c r="P71" s="306" t="str"/>
    </row>
    <row r="72" ht="20" customHeight="1" s="48">
      <c r="A72" s="304" t="str"/>
      <c r="B72" s="256" t="str"/>
      <c r="C72" s="256" t="str"/>
      <c r="D72" s="256" t="str"/>
      <c r="E72" s="256" t="str"/>
      <c r="F72" s="256" t="str"/>
      <c r="G72" s="256" t="str"/>
      <c r="H72" s="256" t="str"/>
      <c r="I72" s="256" t="str"/>
      <c r="J72" s="308" t="str"/>
      <c r="K72" s="256" t="str"/>
      <c r="L72" s="305" t="str"/>
      <c r="M72" s="305" t="str"/>
      <c r="N72" s="256" t="str"/>
      <c r="O72" s="256" t="str"/>
      <c r="P72" s="306" t="str"/>
    </row>
    <row r="73" ht="20" customHeight="1" s="48">
      <c r="A73" s="304" t="str"/>
      <c r="B73" s="256" t="str"/>
      <c r="C73" s="256" t="str"/>
      <c r="D73" s="256" t="str"/>
      <c r="E73" s="256" t="str"/>
      <c r="F73" s="256" t="str"/>
      <c r="G73" s="256" t="str"/>
      <c r="H73" s="256" t="str"/>
      <c r="I73" s="256" t="str"/>
      <c r="J73" s="308" t="str"/>
      <c r="K73" s="256" t="str"/>
      <c r="L73" s="305" t="str"/>
      <c r="M73" s="305" t="str"/>
      <c r="N73" s="256" t="str"/>
      <c r="O73" s="256" t="str"/>
      <c r="P73" s="306" t="str"/>
    </row>
    <row r="74" ht="20" customHeight="1" s="48">
      <c r="A74" s="304" t="str"/>
      <c r="B74" s="256" t="str"/>
      <c r="C74" s="256" t="str"/>
      <c r="D74" s="256" t="str"/>
      <c r="E74" s="256" t="str"/>
      <c r="F74" s="256" t="str"/>
      <c r="G74" s="256" t="str"/>
      <c r="H74" s="256" t="str"/>
      <c r="I74" s="256" t="str"/>
      <c r="J74" s="308" t="str"/>
      <c r="K74" s="256" t="str"/>
      <c r="L74" s="305" t="str"/>
      <c r="M74" s="305" t="str"/>
      <c r="N74" s="256" t="str"/>
      <c r="O74" s="256" t="str"/>
      <c r="P74" s="306" t="str"/>
    </row>
    <row r="75" ht="20" customHeight="1" s="48">
      <c r="A75" s="304" t="str"/>
      <c r="B75" s="256" t="str"/>
      <c r="C75" s="256" t="str"/>
      <c r="D75" s="256" t="str"/>
      <c r="E75" s="256" t="str"/>
      <c r="F75" s="256" t="str"/>
      <c r="G75" s="256" t="str"/>
      <c r="H75" s="256" t="str"/>
      <c r="I75" s="256" t="str"/>
      <c r="J75" s="308" t="str"/>
      <c r="K75" s="256" t="str"/>
      <c r="L75" s="305" t="str"/>
      <c r="M75" s="305" t="str"/>
      <c r="N75" s="256" t="str"/>
      <c r="O75" s="256" t="str"/>
      <c r="P75" s="306" t="str"/>
    </row>
    <row r="76" ht="20" customHeight="1" s="48">
      <c r="A76" s="304" t="str"/>
      <c r="B76" s="256" t="str"/>
      <c r="C76" s="256" t="str"/>
      <c r="D76" s="256" t="str"/>
      <c r="E76" s="256" t="str"/>
      <c r="F76" s="256" t="str"/>
      <c r="G76" s="256" t="str"/>
      <c r="H76" s="256" t="str"/>
      <c r="I76" s="256" t="str"/>
      <c r="J76" s="308" t="str"/>
      <c r="K76" s="256" t="str"/>
      <c r="L76" s="305" t="str"/>
      <c r="M76" s="305" t="str"/>
      <c r="N76" s="256" t="str"/>
      <c r="O76" s="256" t="str"/>
      <c r="P76" s="306" t="str"/>
    </row>
    <row r="77" ht="20" customHeight="1" s="48">
      <c r="A77" s="304" t="str"/>
      <c r="B77" s="256" t="str"/>
      <c r="C77" s="256" t="str"/>
      <c r="D77" s="256" t="str"/>
      <c r="E77" s="256" t="str"/>
      <c r="F77" s="256" t="str"/>
      <c r="G77" s="256" t="str"/>
      <c r="H77" s="256" t="str"/>
      <c r="I77" s="256" t="str"/>
      <c r="J77" s="308" t="str"/>
      <c r="K77" s="256" t="str"/>
      <c r="L77" s="305" t="str"/>
      <c r="M77" s="305" t="str"/>
      <c r="N77" s="256" t="str"/>
      <c r="O77" s="256" t="str"/>
      <c r="P77" s="306" t="str"/>
    </row>
    <row r="78" ht="20" customHeight="1" s="48">
      <c r="A78" s="304" t="str"/>
      <c r="B78" s="256" t="str"/>
      <c r="C78" s="256" t="str"/>
      <c r="D78" s="256" t="str"/>
      <c r="E78" s="256" t="str"/>
      <c r="F78" s="256" t="str"/>
      <c r="G78" s="256" t="str"/>
      <c r="H78" s="256" t="str"/>
      <c r="I78" s="256" t="str"/>
      <c r="J78" s="308" t="str"/>
      <c r="K78" s="256" t="str"/>
      <c r="L78" s="305" t="str"/>
      <c r="M78" s="305" t="str"/>
      <c r="N78" s="256" t="str"/>
      <c r="O78" s="256" t="str"/>
      <c r="P78" s="306" t="str"/>
    </row>
    <row r="79" ht="20" customHeight="1" s="48">
      <c r="A79" s="304" t="str"/>
      <c r="B79" s="256" t="str"/>
      <c r="C79" s="256" t="str"/>
      <c r="D79" s="256" t="str"/>
      <c r="E79" s="256" t="str"/>
      <c r="F79" s="256" t="str"/>
      <c r="G79" s="256" t="str"/>
      <c r="H79" s="256" t="str"/>
      <c r="I79" s="256" t="str"/>
      <c r="J79" s="308" t="str"/>
      <c r="K79" s="256" t="str"/>
      <c r="L79" s="305" t="str"/>
      <c r="M79" s="305" t="str"/>
      <c r="N79" s="256" t="str"/>
      <c r="O79" s="256" t="str"/>
      <c r="P79" s="306" t="str"/>
    </row>
    <row r="80" ht="20" customHeight="1" s="48">
      <c r="A80" s="304" t="str"/>
      <c r="B80" s="256" t="str"/>
      <c r="C80" s="256" t="str"/>
      <c r="D80" s="256" t="str"/>
      <c r="E80" s="256" t="str"/>
      <c r="F80" s="256" t="str"/>
      <c r="G80" s="256" t="str"/>
      <c r="H80" s="256" t="str"/>
      <c r="I80" s="256" t="str"/>
      <c r="J80" s="308" t="str"/>
      <c r="K80" s="256" t="str"/>
      <c r="L80" s="305" t="str"/>
      <c r="M80" s="305" t="str"/>
      <c r="N80" s="256" t="str"/>
      <c r="O80" s="256" t="str"/>
      <c r="P80" s="306" t="str"/>
    </row>
    <row r="81" ht="20" customHeight="1" s="48">
      <c r="A81" s="304" t="str"/>
      <c r="B81" s="256" t="str"/>
      <c r="C81" s="256" t="str"/>
      <c r="D81" s="256" t="str"/>
      <c r="E81" s="256" t="str"/>
      <c r="F81" s="256" t="str"/>
      <c r="G81" s="256" t="str"/>
      <c r="H81" s="256" t="str"/>
      <c r="I81" s="256" t="str"/>
      <c r="J81" s="308" t="str"/>
      <c r="K81" s="256" t="str"/>
      <c r="L81" s="305" t="str"/>
      <c r="M81" s="305" t="str"/>
      <c r="N81" s="256" t="str"/>
      <c r="O81" s="256" t="str"/>
      <c r="P81" s="306" t="str"/>
    </row>
    <row r="82" ht="20" customHeight="1" s="48">
      <c r="A82" s="304" t="str"/>
      <c r="B82" s="256" t="str"/>
      <c r="C82" s="256" t="str"/>
      <c r="D82" s="256" t="str"/>
      <c r="E82" s="256" t="str"/>
      <c r="F82" s="256" t="str"/>
      <c r="G82" s="256" t="str"/>
      <c r="H82" s="256" t="str"/>
      <c r="I82" s="256" t="str"/>
      <c r="J82" s="308" t="str"/>
      <c r="K82" s="256" t="str"/>
      <c r="L82" s="305" t="str"/>
      <c r="M82" s="305" t="str"/>
      <c r="N82" s="256" t="str"/>
      <c r="O82" s="256" t="str"/>
      <c r="P82" s="306" t="str"/>
    </row>
    <row r="83" ht="20" customHeight="1" s="48">
      <c r="A83" s="304" t="str"/>
      <c r="B83" s="256" t="str"/>
      <c r="C83" s="256" t="str"/>
      <c r="D83" s="256" t="str"/>
      <c r="E83" s="256" t="str"/>
      <c r="F83" s="256" t="str"/>
      <c r="G83" s="256" t="str"/>
      <c r="H83" s="256" t="str"/>
      <c r="I83" s="256" t="str"/>
      <c r="J83" s="308" t="str"/>
      <c r="K83" s="256" t="str"/>
      <c r="L83" s="305" t="str"/>
      <c r="M83" s="305" t="str"/>
      <c r="N83" s="256" t="str"/>
      <c r="O83" s="256" t="str"/>
      <c r="P83" s="306" t="str"/>
    </row>
    <row r="84" ht="20" customHeight="1" s="48">
      <c r="A84" s="304" t="str"/>
      <c r="B84" s="256" t="str"/>
      <c r="C84" s="256" t="str"/>
      <c r="D84" s="256" t="str"/>
      <c r="E84" s="256" t="str"/>
      <c r="F84" s="256" t="str"/>
      <c r="G84" s="256" t="str"/>
      <c r="H84" s="256" t="str"/>
      <c r="I84" s="256" t="str"/>
      <c r="J84" s="308" t="str"/>
      <c r="K84" s="256" t="str"/>
      <c r="L84" s="305" t="str"/>
      <c r="M84" s="305" t="str"/>
      <c r="N84" s="256" t="str"/>
      <c r="O84" s="256" t="str"/>
      <c r="P84" s="306" t="str"/>
    </row>
    <row r="85" ht="20" customHeight="1" s="48">
      <c r="A85" s="304" t="str"/>
      <c r="B85" s="256" t="str"/>
      <c r="C85" s="256" t="str"/>
      <c r="D85" s="256" t="str"/>
      <c r="E85" s="256" t="str"/>
      <c r="F85" s="256" t="str"/>
      <c r="G85" s="256" t="str"/>
      <c r="H85" s="256" t="str"/>
      <c r="I85" s="256" t="str"/>
      <c r="J85" s="308" t="str"/>
      <c r="K85" s="256" t="str"/>
      <c r="L85" s="305" t="str"/>
      <c r="M85" s="305" t="str"/>
      <c r="N85" s="256" t="str"/>
      <c r="O85" s="256" t="str"/>
      <c r="P85" s="306" t="str"/>
    </row>
    <row r="86" ht="20" customHeight="1" s="48">
      <c r="A86" s="304" t="str"/>
      <c r="B86" s="256" t="str"/>
      <c r="C86" s="256" t="str"/>
      <c r="D86" s="256" t="str"/>
      <c r="E86" s="256" t="str"/>
      <c r="F86" s="256" t="str"/>
      <c r="G86" s="256" t="str"/>
      <c r="H86" s="256" t="str"/>
      <c r="I86" s="256" t="str"/>
      <c r="J86" s="308" t="str"/>
      <c r="K86" s="256" t="str"/>
      <c r="L86" s="305" t="str"/>
      <c r="M86" s="305" t="str"/>
      <c r="N86" s="256" t="str"/>
      <c r="O86" s="256" t="str"/>
      <c r="P86" s="306" t="str"/>
    </row>
    <row r="87" ht="20" customHeight="1" s="48">
      <c r="A87" s="304" t="str"/>
      <c r="B87" s="256" t="str"/>
      <c r="C87" s="256" t="str"/>
      <c r="D87" s="256" t="str"/>
      <c r="E87" s="256" t="str"/>
      <c r="F87" s="256" t="str"/>
      <c r="G87" s="256" t="str"/>
      <c r="H87" s="256" t="str"/>
      <c r="I87" s="256" t="str"/>
      <c r="J87" s="308" t="str"/>
      <c r="K87" s="256" t="str"/>
      <c r="L87" s="305" t="str"/>
      <c r="M87" s="305" t="str"/>
      <c r="N87" s="256" t="str"/>
      <c r="O87" s="256" t="str"/>
      <c r="P87" s="306" t="str"/>
    </row>
    <row r="88" ht="20" customHeight="1" s="48">
      <c r="A88" s="304" t="str"/>
      <c r="B88" s="256" t="str"/>
      <c r="C88" s="256" t="str"/>
      <c r="D88" s="256" t="str"/>
      <c r="E88" s="256" t="str"/>
      <c r="F88" s="256" t="str"/>
      <c r="G88" s="256" t="str"/>
      <c r="H88" s="256" t="str"/>
      <c r="I88" s="256" t="str"/>
      <c r="J88" s="308" t="str"/>
      <c r="K88" s="256" t="str"/>
      <c r="L88" s="305" t="str"/>
      <c r="M88" s="305" t="str"/>
      <c r="N88" s="256" t="str"/>
      <c r="O88" s="256" t="str"/>
      <c r="P88" s="306" t="str"/>
    </row>
    <row r="89" ht="20" customHeight="1" s="48">
      <c r="A89" s="304" t="str"/>
      <c r="B89" s="256" t="str"/>
      <c r="C89" s="256" t="str"/>
      <c r="D89" s="256" t="str"/>
      <c r="E89" s="256" t="str"/>
      <c r="F89" s="256" t="str"/>
      <c r="G89" s="256" t="str"/>
      <c r="H89" s="256" t="str"/>
      <c r="I89" s="256" t="str"/>
      <c r="J89" s="308" t="str"/>
      <c r="K89" s="256" t="str"/>
      <c r="L89" s="305" t="str"/>
      <c r="M89" s="305" t="str"/>
      <c r="N89" s="256" t="str"/>
      <c r="O89" s="256" t="str"/>
      <c r="P89" s="306" t="str"/>
    </row>
    <row r="90" ht="20" customHeight="1" s="48">
      <c r="A90" s="304" t="str"/>
      <c r="B90" s="256" t="str"/>
      <c r="C90" s="256" t="str"/>
      <c r="D90" s="256" t="str"/>
      <c r="E90" s="256" t="str"/>
      <c r="F90" s="256" t="str"/>
      <c r="G90" s="256" t="str"/>
      <c r="H90" s="256" t="str"/>
      <c r="I90" s="256" t="str"/>
      <c r="J90" s="308" t="str"/>
      <c r="K90" s="256" t="str"/>
      <c r="L90" s="305" t="str"/>
      <c r="M90" s="305" t="str"/>
      <c r="N90" s="256" t="str"/>
      <c r="O90" s="256" t="str"/>
      <c r="P90" s="306" t="str"/>
    </row>
    <row r="91" ht="20" customHeight="1" s="48">
      <c r="A91" s="304" t="str"/>
      <c r="B91" s="256" t="str"/>
      <c r="C91" s="256" t="str"/>
      <c r="D91" s="256" t="str"/>
      <c r="E91" s="256" t="str"/>
      <c r="F91" s="256" t="str"/>
      <c r="G91" s="256" t="str"/>
      <c r="H91" s="256" t="str"/>
      <c r="I91" s="256" t="str"/>
      <c r="J91" s="308" t="str"/>
      <c r="K91" s="256" t="str"/>
      <c r="L91" s="305" t="str"/>
      <c r="M91" s="305" t="str"/>
      <c r="N91" s="256" t="str"/>
      <c r="O91" s="256" t="str"/>
      <c r="P91" s="306" t="str"/>
    </row>
    <row r="92" ht="20" customHeight="1" s="48">
      <c r="A92" s="304" t="str"/>
      <c r="B92" s="256" t="str"/>
      <c r="C92" s="256" t="str"/>
      <c r="D92" s="256" t="str"/>
      <c r="E92" s="256" t="str"/>
      <c r="F92" s="256" t="str"/>
      <c r="G92" s="256" t="str"/>
      <c r="H92" s="256" t="str"/>
      <c r="I92" s="256" t="str"/>
      <c r="J92" s="308" t="str"/>
      <c r="K92" s="256" t="str"/>
      <c r="L92" s="305" t="str"/>
      <c r="M92" s="305" t="str"/>
      <c r="N92" s="256" t="str"/>
      <c r="O92" s="256" t="str"/>
      <c r="P92" s="306" t="str"/>
    </row>
    <row r="93" ht="20" customHeight="1" s="48">
      <c r="A93" s="304" t="str"/>
      <c r="B93" s="256" t="str"/>
      <c r="C93" s="256" t="str"/>
      <c r="D93" s="256" t="str"/>
      <c r="E93" s="256" t="str"/>
      <c r="F93" s="256" t="str"/>
      <c r="G93" s="256" t="str"/>
      <c r="H93" s="256" t="str"/>
      <c r="I93" s="256" t="str"/>
      <c r="J93" s="308" t="str"/>
      <c r="K93" s="256" t="str"/>
      <c r="L93" s="305" t="str"/>
      <c r="M93" s="305" t="str"/>
      <c r="N93" s="256" t="str"/>
      <c r="O93" s="256" t="str"/>
      <c r="P93" s="306" t="str"/>
    </row>
    <row r="94" ht="20" customHeight="1" s="48">
      <c r="A94" s="304" t="str"/>
      <c r="B94" s="256" t="str"/>
      <c r="C94" s="256" t="str"/>
      <c r="D94" s="256" t="str"/>
      <c r="E94" s="256" t="str"/>
      <c r="F94" s="256" t="str"/>
      <c r="G94" s="256" t="str"/>
      <c r="H94" s="256" t="str"/>
      <c r="I94" s="256" t="str"/>
      <c r="J94" s="308" t="str"/>
      <c r="K94" s="256" t="str"/>
      <c r="L94" s="305" t="str"/>
      <c r="M94" s="305" t="str"/>
      <c r="N94" s="256" t="str"/>
      <c r="O94" s="256" t="str"/>
      <c r="P94" s="306" t="str"/>
    </row>
    <row r="95" ht="20" customHeight="1" s="48">
      <c r="A95" s="304" t="str"/>
      <c r="B95" s="256" t="str"/>
      <c r="C95" s="256" t="str"/>
      <c r="D95" s="256" t="str"/>
      <c r="E95" s="256" t="str"/>
      <c r="F95" s="256" t="str"/>
      <c r="G95" s="256" t="str"/>
      <c r="H95" s="256" t="str"/>
      <c r="I95" s="256" t="str"/>
      <c r="J95" s="308" t="str"/>
      <c r="K95" s="256" t="str"/>
      <c r="L95" s="305" t="str"/>
      <c r="M95" s="305" t="str"/>
      <c r="N95" s="256" t="str"/>
      <c r="O95" s="256" t="str"/>
      <c r="P95" s="306" t="str"/>
    </row>
    <row r="96" ht="20" customHeight="1" s="48">
      <c r="A96" s="304" t="str"/>
      <c r="B96" s="256" t="str"/>
      <c r="C96" s="256" t="str"/>
      <c r="D96" s="256" t="str"/>
      <c r="E96" s="256" t="str"/>
      <c r="F96" s="256" t="str"/>
      <c r="G96" s="256" t="str"/>
      <c r="H96" s="256" t="str"/>
      <c r="I96" s="256" t="str"/>
      <c r="J96" s="308" t="str"/>
      <c r="K96" s="256" t="str"/>
      <c r="L96" s="305" t="str"/>
      <c r="M96" s="305" t="str"/>
      <c r="N96" s="256" t="str"/>
      <c r="O96" s="256" t="str"/>
      <c r="P96" s="306" t="str"/>
    </row>
    <row r="97" ht="20" customHeight="1" s="48">
      <c r="A97" s="304" t="str"/>
      <c r="B97" s="256" t="str"/>
      <c r="C97" s="256" t="str"/>
      <c r="D97" s="256" t="str"/>
      <c r="E97" s="256" t="str"/>
      <c r="F97" s="256" t="str"/>
      <c r="G97" s="256" t="str"/>
      <c r="H97" s="256" t="str"/>
      <c r="I97" s="256" t="str"/>
      <c r="J97" s="308" t="str"/>
      <c r="K97" s="256" t="str"/>
      <c r="L97" s="305" t="str"/>
      <c r="M97" s="305" t="str"/>
      <c r="N97" s="256" t="str"/>
      <c r="O97" s="256" t="str"/>
      <c r="P97" s="306" t="str"/>
    </row>
    <row r="98" ht="20" customHeight="1" s="48">
      <c r="A98" s="304" t="str"/>
      <c r="B98" s="256" t="str"/>
      <c r="C98" s="256" t="str"/>
      <c r="D98" s="256" t="str"/>
      <c r="E98" s="256" t="str"/>
      <c r="F98" s="256" t="str"/>
      <c r="G98" s="256" t="str"/>
      <c r="H98" s="256" t="str"/>
      <c r="I98" s="256" t="str"/>
      <c r="J98" s="308" t="str"/>
      <c r="K98" s="256" t="str"/>
      <c r="L98" s="305" t="str"/>
      <c r="M98" s="305" t="str"/>
      <c r="N98" s="256" t="str"/>
      <c r="O98" s="256" t="str"/>
      <c r="P98" s="306" t="str"/>
    </row>
    <row r="99" ht="20" customHeight="1" s="48">
      <c r="A99" s="304" t="str"/>
      <c r="B99" s="256" t="str"/>
      <c r="C99" s="256" t="str"/>
      <c r="D99" s="256" t="str"/>
      <c r="E99" s="256" t="str"/>
      <c r="F99" s="256" t="str"/>
      <c r="G99" s="256" t="str"/>
      <c r="H99" s="256" t="str"/>
      <c r="I99" s="256" t="str"/>
      <c r="J99" s="308" t="str"/>
      <c r="K99" s="256" t="str"/>
      <c r="L99" s="305" t="str"/>
      <c r="M99" s="305" t="str"/>
      <c r="N99" s="256" t="str"/>
      <c r="O99" s="256" t="str"/>
      <c r="P99" s="306" t="str"/>
    </row>
    <row r="100" ht="20" customHeight="1" s="48">
      <c r="A100" s="304" t="str"/>
      <c r="B100" s="256" t="str"/>
      <c r="C100" s="256" t="str"/>
      <c r="D100" s="256" t="str"/>
      <c r="E100" s="256" t="str"/>
      <c r="F100" s="256" t="str"/>
      <c r="G100" s="256" t="str"/>
      <c r="H100" s="256" t="str"/>
      <c r="I100" s="256" t="str"/>
      <c r="J100" s="308" t="str"/>
      <c r="K100" s="256" t="str"/>
      <c r="L100" s="305" t="str"/>
      <c r="M100" s="305" t="str"/>
      <c r="N100" s="256" t="str"/>
      <c r="O100" s="256" t="str"/>
      <c r="P100" s="306" t="str"/>
    </row>
    <row r="101" ht="20" customHeight="1" s="48">
      <c r="A101" s="304" t="str"/>
      <c r="B101" s="256" t="str"/>
      <c r="C101" s="256" t="str"/>
      <c r="D101" s="256" t="str"/>
      <c r="E101" s="256" t="str"/>
      <c r="F101" s="256" t="str"/>
      <c r="G101" s="256" t="str"/>
      <c r="H101" s="256" t="str"/>
      <c r="I101" s="256" t="str"/>
      <c r="J101" s="308" t="str"/>
      <c r="K101" s="256" t="str"/>
      <c r="L101" s="305" t="str"/>
      <c r="M101" s="305" t="str"/>
      <c r="N101" s="256" t="str"/>
      <c r="O101" s="256" t="str"/>
      <c r="P101" s="306" t="str"/>
    </row>
    <row r="102" ht="20" customHeight="1" s="48">
      <c r="A102" s="304" t="str"/>
      <c r="B102" s="256" t="str"/>
      <c r="C102" s="256" t="str"/>
      <c r="D102" s="256" t="str"/>
      <c r="E102" s="256" t="str"/>
      <c r="F102" s="256" t="str"/>
      <c r="G102" s="256" t="str"/>
      <c r="H102" s="256" t="str"/>
      <c r="I102" s="256" t="str"/>
      <c r="J102" s="308" t="str"/>
      <c r="K102" s="256" t="str"/>
      <c r="L102" s="305" t="str"/>
      <c r="M102" s="305" t="str"/>
      <c r="N102" s="256" t="str"/>
      <c r="O102" s="256" t="str"/>
      <c r="P102" s="306" t="str"/>
    </row>
    <row r="103" ht="20" customHeight="1" s="48">
      <c r="A103" s="304" t="str"/>
      <c r="B103" s="256" t="str"/>
      <c r="C103" s="256" t="str"/>
      <c r="D103" s="256" t="str"/>
      <c r="E103" s="256" t="str"/>
      <c r="F103" s="256" t="str"/>
      <c r="G103" s="256" t="str"/>
      <c r="H103" s="256" t="str"/>
      <c r="I103" s="256" t="str"/>
      <c r="J103" s="308" t="str"/>
      <c r="K103" s="256" t="str"/>
      <c r="L103" s="305" t="str"/>
      <c r="M103" s="305" t="str"/>
      <c r="N103" s="256" t="str"/>
      <c r="O103" s="256" t="str"/>
      <c r="P103" s="306" t="str"/>
    </row>
    <row r="104" ht="20" customHeight="1" s="48">
      <c r="A104" s="304" t="str"/>
      <c r="B104" s="256" t="str"/>
      <c r="C104" s="256" t="str"/>
      <c r="D104" s="256" t="str"/>
      <c r="E104" s="256" t="str"/>
      <c r="F104" s="256" t="str"/>
      <c r="G104" s="256" t="str"/>
      <c r="H104" s="256" t="str"/>
      <c r="I104" s="256" t="str"/>
      <c r="J104" s="308" t="str"/>
      <c r="K104" s="256" t="str"/>
      <c r="L104" s="305" t="str"/>
      <c r="M104" s="305" t="str"/>
      <c r="N104" s="256" t="str"/>
      <c r="O104" s="256" t="str"/>
      <c r="P104" s="306" t="str"/>
    </row>
    <row r="105" ht="20" customHeight="1" s="48">
      <c r="A105" s="304" t="str"/>
      <c r="B105" s="256" t="str"/>
      <c r="C105" s="256" t="str"/>
      <c r="D105" s="256" t="str"/>
      <c r="E105" s="256" t="str"/>
      <c r="F105" s="256" t="str"/>
      <c r="G105" s="256" t="str"/>
      <c r="H105" s="256" t="str"/>
      <c r="I105" s="256" t="str"/>
      <c r="J105" s="308" t="str"/>
      <c r="K105" s="256" t="str"/>
      <c r="L105" s="305" t="str"/>
      <c r="M105" s="305" t="str"/>
      <c r="N105" s="256" t="str"/>
      <c r="O105" s="256" t="str"/>
      <c r="P105" s="306" t="str"/>
    </row>
    <row r="106" ht="20" customHeight="1" s="48">
      <c r="A106" s="304" t="str"/>
      <c r="B106" s="256" t="str"/>
      <c r="C106" s="256" t="str"/>
      <c r="D106" s="256" t="str"/>
      <c r="E106" s="256" t="str"/>
      <c r="F106" s="256" t="str"/>
      <c r="G106" s="256" t="str"/>
      <c r="H106" s="256" t="str"/>
      <c r="I106" s="256" t="str"/>
      <c r="J106" s="308" t="str"/>
      <c r="K106" s="256" t="str"/>
      <c r="L106" s="305" t="str"/>
      <c r="M106" s="305" t="str"/>
      <c r="N106" s="256" t="str"/>
      <c r="O106" s="256" t="str"/>
      <c r="P106" s="306" t="str"/>
    </row>
    <row r="107" ht="20" customHeight="1" s="48">
      <c r="A107" s="304" t="str"/>
      <c r="B107" s="256" t="str"/>
      <c r="C107" s="256" t="str"/>
      <c r="D107" s="256" t="str"/>
      <c r="E107" s="256" t="str"/>
      <c r="F107" s="256" t="str"/>
      <c r="G107" s="256" t="str"/>
      <c r="H107" s="256" t="str"/>
      <c r="I107" s="256" t="str"/>
      <c r="J107" s="308" t="str"/>
      <c r="K107" s="256" t="str"/>
      <c r="L107" s="305" t="str"/>
      <c r="M107" s="305" t="str"/>
      <c r="N107" s="256" t="str"/>
      <c r="O107" s="256" t="str"/>
      <c r="P107" s="306" t="str"/>
    </row>
    <row r="108" ht="20" customHeight="1" s="48">
      <c r="A108" s="304" t="str"/>
      <c r="B108" s="256" t="str"/>
      <c r="C108" s="256" t="str"/>
      <c r="D108" s="256" t="str"/>
      <c r="E108" s="256" t="str"/>
      <c r="F108" s="256" t="str"/>
      <c r="G108" s="256" t="str"/>
      <c r="H108" s="256" t="str"/>
      <c r="I108" s="256" t="str"/>
      <c r="J108" s="308" t="str"/>
      <c r="K108" s="256" t="str"/>
      <c r="L108" s="305" t="str"/>
      <c r="M108" s="305" t="str"/>
      <c r="N108" s="256" t="str"/>
      <c r="O108" s="256" t="str"/>
      <c r="P108" s="306" t="str"/>
    </row>
    <row r="109" ht="20" customHeight="1" s="48">
      <c r="A109" s="304" t="str"/>
      <c r="B109" s="256" t="str"/>
      <c r="C109" s="256" t="str"/>
      <c r="D109" s="256" t="str"/>
      <c r="E109" s="256" t="str"/>
      <c r="F109" s="256" t="str"/>
      <c r="G109" s="256" t="str"/>
      <c r="H109" s="256" t="str"/>
      <c r="I109" s="256" t="str"/>
      <c r="J109" s="308" t="str"/>
      <c r="K109" s="256" t="str"/>
      <c r="L109" s="305" t="str"/>
      <c r="M109" s="305" t="str"/>
      <c r="N109" s="256" t="str"/>
      <c r="O109" s="256" t="str"/>
      <c r="P109" s="306" t="str"/>
    </row>
    <row r="110" ht="20" customHeight="1" s="48">
      <c r="A110" s="304" t="str"/>
      <c r="B110" s="256" t="str"/>
      <c r="C110" s="256" t="str"/>
      <c r="D110" s="256" t="str"/>
      <c r="E110" s="256" t="str"/>
      <c r="F110" s="256" t="str"/>
      <c r="G110" s="256" t="str"/>
      <c r="H110" s="256" t="str"/>
      <c r="I110" s="256" t="str"/>
      <c r="J110" s="308" t="str"/>
      <c r="K110" s="256" t="str"/>
      <c r="L110" s="305" t="str"/>
      <c r="M110" s="305" t="str"/>
      <c r="N110" s="256" t="str"/>
      <c r="O110" s="256" t="str"/>
      <c r="P110" s="306" t="str"/>
    </row>
    <row r="111" ht="20" customHeight="1" s="48">
      <c r="A111" s="304" t="str"/>
      <c r="B111" s="256" t="str"/>
      <c r="C111" s="256" t="str"/>
      <c r="D111" s="256" t="str"/>
      <c r="E111" s="256" t="str"/>
      <c r="F111" s="256" t="str"/>
      <c r="G111" s="256" t="str"/>
      <c r="H111" s="256" t="str"/>
      <c r="I111" s="256" t="str"/>
      <c r="J111" s="308" t="str"/>
      <c r="K111" s="256" t="str"/>
      <c r="L111" s="305" t="str"/>
      <c r="M111" s="305" t="str"/>
      <c r="N111" s="256" t="str"/>
      <c r="O111" s="256" t="str"/>
      <c r="P111" s="306" t="str"/>
    </row>
    <row r="112" ht="20" customHeight="1" s="48">
      <c r="A112" s="304" t="str"/>
      <c r="B112" s="256" t="str"/>
      <c r="C112" s="256" t="str"/>
      <c r="D112" s="256" t="str"/>
      <c r="E112" s="256" t="str"/>
      <c r="F112" s="256" t="str"/>
      <c r="G112" s="256" t="str"/>
      <c r="H112" s="256" t="str"/>
      <c r="I112" s="256" t="str"/>
      <c r="J112" s="308" t="str"/>
      <c r="K112" s="256" t="str"/>
      <c r="L112" s="305" t="str"/>
      <c r="M112" s="305" t="str"/>
      <c r="N112" s="256" t="str"/>
      <c r="O112" s="256" t="str"/>
      <c r="P112" s="306" t="str"/>
    </row>
    <row r="113" ht="20" customHeight="1" s="48">
      <c r="A113" s="304" t="str"/>
      <c r="B113" s="256" t="str"/>
      <c r="C113" s="256" t="str"/>
      <c r="D113" s="256" t="str"/>
      <c r="E113" s="256" t="str"/>
      <c r="F113" s="256" t="str"/>
      <c r="G113" s="256" t="str"/>
      <c r="H113" s="256" t="str"/>
      <c r="I113" s="256" t="str"/>
      <c r="J113" s="308" t="str"/>
      <c r="K113" s="256" t="str"/>
      <c r="L113" s="305" t="str"/>
      <c r="M113" s="305" t="str"/>
      <c r="N113" s="256" t="str"/>
      <c r="O113" s="256" t="str"/>
      <c r="P113" s="306" t="str"/>
    </row>
    <row r="114" ht="20" customHeight="1" s="48">
      <c r="A114" s="304" t="str"/>
      <c r="B114" s="256" t="str"/>
      <c r="C114" s="256" t="str"/>
      <c r="D114" s="256" t="str"/>
      <c r="E114" s="256" t="str"/>
      <c r="F114" s="256" t="str"/>
      <c r="G114" s="256" t="str"/>
      <c r="H114" s="256" t="str"/>
      <c r="I114" s="256" t="str"/>
      <c r="J114" s="308" t="str"/>
      <c r="K114" s="256" t="str"/>
      <c r="L114" s="305" t="str"/>
      <c r="M114" s="305" t="str"/>
      <c r="N114" s="256" t="str"/>
      <c r="O114" s="256" t="str"/>
      <c r="P114" s="306" t="str"/>
    </row>
    <row r="115" ht="20" customHeight="1" s="48">
      <c r="A115" s="304" t="str"/>
      <c r="B115" s="256" t="str"/>
      <c r="C115" s="256" t="str"/>
      <c r="D115" s="256" t="str"/>
      <c r="E115" s="256" t="str"/>
      <c r="F115" s="256" t="str"/>
      <c r="G115" s="256" t="str"/>
      <c r="H115" s="256" t="str"/>
      <c r="I115" s="256" t="str"/>
      <c r="J115" s="308" t="str"/>
      <c r="K115" s="256" t="str"/>
      <c r="L115" s="305" t="str"/>
      <c r="M115" s="305" t="str"/>
      <c r="N115" s="256" t="str"/>
      <c r="O115" s="256" t="str"/>
      <c r="P115" s="306" t="str"/>
    </row>
    <row r="116" ht="20" customHeight="1" s="48">
      <c r="A116" s="304" t="str"/>
      <c r="B116" s="256" t="str"/>
      <c r="C116" s="256" t="str"/>
      <c r="D116" s="256" t="str"/>
      <c r="E116" s="256" t="str"/>
      <c r="F116" s="256" t="str"/>
      <c r="G116" s="256" t="str"/>
      <c r="H116" s="256" t="str"/>
      <c r="I116" s="256" t="str"/>
      <c r="J116" s="308" t="str"/>
      <c r="K116" s="256" t="str"/>
      <c r="L116" s="305" t="str"/>
      <c r="M116" s="305" t="str"/>
      <c r="N116" s="256" t="str"/>
      <c r="O116" s="256" t="str"/>
      <c r="P116" s="306" t="str"/>
    </row>
    <row r="117" ht="20" customHeight="1" s="48">
      <c r="A117" s="304" t="str"/>
      <c r="B117" s="256" t="str"/>
      <c r="C117" s="256" t="str"/>
      <c r="D117" s="256" t="str"/>
      <c r="E117" s="256" t="str"/>
      <c r="F117" s="256" t="str"/>
      <c r="G117" s="256" t="str"/>
      <c r="H117" s="256" t="str"/>
      <c r="I117" s="256" t="str"/>
      <c r="J117" s="308" t="str"/>
      <c r="K117" s="256" t="str"/>
      <c r="L117" s="305" t="str"/>
      <c r="M117" s="305" t="str"/>
      <c r="N117" s="256" t="str"/>
      <c r="O117" s="256" t="str"/>
      <c r="P117" s="306" t="str"/>
    </row>
    <row r="118" ht="20" customHeight="1" s="48">
      <c r="A118" s="304" t="str"/>
      <c r="B118" s="256" t="str"/>
      <c r="C118" s="256" t="str"/>
      <c r="D118" s="256" t="str"/>
      <c r="E118" s="256" t="str"/>
      <c r="F118" s="256" t="str"/>
      <c r="G118" s="256" t="str"/>
      <c r="H118" s="256" t="str"/>
      <c r="I118" s="256" t="str"/>
      <c r="J118" s="308" t="str"/>
      <c r="K118" s="256" t="str"/>
      <c r="L118" s="305" t="str"/>
      <c r="M118" s="305" t="str"/>
      <c r="N118" s="256" t="str"/>
      <c r="O118" s="256" t="str"/>
      <c r="P118" s="306" t="str"/>
    </row>
    <row r="119" ht="20" customHeight="1" s="48">
      <c r="A119" s="304" t="str"/>
      <c r="B119" s="256" t="str"/>
      <c r="C119" s="256" t="str"/>
      <c r="D119" s="256" t="str"/>
      <c r="E119" s="256" t="str"/>
      <c r="F119" s="256" t="str"/>
      <c r="G119" s="256" t="str"/>
      <c r="H119" s="256" t="str"/>
      <c r="I119" s="256" t="str"/>
      <c r="J119" s="308" t="str"/>
      <c r="K119" s="256" t="str"/>
      <c r="L119" s="305" t="str"/>
      <c r="M119" s="305" t="str"/>
      <c r="N119" s="256" t="str"/>
      <c r="O119" s="256" t="str"/>
      <c r="P119" s="306" t="str"/>
    </row>
    <row r="120" ht="20" customHeight="1" s="48">
      <c r="A120" s="304" t="str"/>
      <c r="B120" s="256" t="str"/>
      <c r="C120" s="256" t="str"/>
      <c r="D120" s="256" t="str"/>
      <c r="E120" s="256" t="str"/>
      <c r="F120" s="256" t="str"/>
      <c r="G120" s="256" t="str"/>
      <c r="H120" s="256" t="str"/>
      <c r="I120" s="256" t="str"/>
      <c r="J120" s="308" t="str"/>
      <c r="K120" s="256" t="str"/>
      <c r="L120" s="305" t="str"/>
      <c r="M120" s="305" t="str"/>
      <c r="N120" s="256" t="str"/>
      <c r="O120" s="256" t="str"/>
      <c r="P120" s="306" t="str"/>
    </row>
    <row r="121" ht="20" customHeight="1" s="48">
      <c r="A121" s="304" t="str"/>
      <c r="B121" s="256" t="str"/>
      <c r="C121" s="256" t="str"/>
      <c r="D121" s="256" t="str"/>
      <c r="E121" s="256" t="str"/>
      <c r="F121" s="256" t="str"/>
      <c r="G121" s="256" t="str"/>
      <c r="H121" s="256" t="str"/>
      <c r="I121" s="256" t="str"/>
      <c r="J121" s="308" t="str"/>
      <c r="K121" s="256" t="str"/>
      <c r="L121" s="305" t="str"/>
      <c r="M121" s="305" t="str"/>
      <c r="N121" s="256" t="str"/>
      <c r="O121" s="256" t="str"/>
      <c r="P121" s="306" t="str"/>
    </row>
    <row r="122" ht="20" customHeight="1" s="48">
      <c r="A122" s="304" t="str"/>
      <c r="B122" s="256" t="str"/>
      <c r="C122" s="256" t="str"/>
      <c r="D122" s="256" t="str"/>
      <c r="E122" s="256" t="str"/>
      <c r="F122" s="256" t="str"/>
      <c r="G122" s="256" t="str"/>
      <c r="H122" s="256" t="str"/>
      <c r="I122" s="256" t="str"/>
      <c r="J122" s="308" t="str"/>
      <c r="K122" s="256" t="str"/>
      <c r="L122" s="305" t="str"/>
      <c r="M122" s="305" t="str"/>
      <c r="N122" s="256" t="str"/>
      <c r="O122" s="256" t="str"/>
      <c r="P122" s="306" t="str"/>
    </row>
    <row r="123" ht="20" customHeight="1" s="48">
      <c r="A123" s="304" t="str"/>
      <c r="B123" s="256" t="str"/>
      <c r="C123" s="256" t="str"/>
      <c r="D123" s="256" t="str"/>
      <c r="E123" s="256" t="str"/>
      <c r="F123" s="256" t="str"/>
      <c r="G123" s="256" t="str"/>
      <c r="H123" s="256" t="str"/>
      <c r="I123" s="256" t="str"/>
      <c r="J123" s="308" t="str"/>
      <c r="K123" s="256" t="str"/>
      <c r="L123" s="305" t="str"/>
      <c r="M123" s="305" t="str"/>
      <c r="N123" s="256" t="str"/>
      <c r="O123" s="256" t="str"/>
      <c r="P123" s="306" t="str"/>
    </row>
    <row r="124" ht="20" customHeight="1" s="48">
      <c r="A124" s="304" t="str"/>
      <c r="B124" s="256" t="str"/>
      <c r="C124" s="256" t="str"/>
      <c r="D124" s="256" t="str"/>
      <c r="E124" s="256" t="str"/>
      <c r="F124" s="256" t="str"/>
      <c r="G124" s="256" t="str"/>
      <c r="H124" s="256" t="str"/>
      <c r="I124" s="256" t="str"/>
      <c r="J124" s="308" t="str"/>
      <c r="K124" s="256" t="str"/>
      <c r="L124" s="305" t="str"/>
      <c r="M124" s="305" t="str"/>
      <c r="N124" s="256" t="str"/>
      <c r="O124" s="256" t="str"/>
      <c r="P124" s="306" t="str"/>
    </row>
    <row r="125" ht="20" customHeight="1" s="48">
      <c r="A125" s="304" t="str"/>
      <c r="B125" s="256" t="str"/>
      <c r="C125" s="256" t="str"/>
      <c r="D125" s="256" t="str"/>
      <c r="E125" s="256" t="str"/>
      <c r="F125" s="256" t="str"/>
      <c r="G125" s="256" t="str"/>
      <c r="H125" s="256" t="str"/>
      <c r="I125" s="256" t="str"/>
      <c r="J125" s="308" t="str"/>
      <c r="K125" s="256" t="str"/>
      <c r="L125" s="305" t="str"/>
      <c r="M125" s="305" t="str"/>
      <c r="N125" s="256" t="str"/>
      <c r="O125" s="256" t="str"/>
      <c r="P125" s="306" t="str"/>
    </row>
    <row r="126" ht="20" customHeight="1" s="48">
      <c r="A126" s="304" t="str"/>
      <c r="B126" s="256" t="str"/>
      <c r="C126" s="256" t="str"/>
      <c r="D126" s="256" t="str"/>
      <c r="E126" s="256" t="str"/>
      <c r="F126" s="256" t="str"/>
      <c r="G126" s="256" t="str"/>
      <c r="H126" s="256" t="str"/>
      <c r="I126" s="256" t="str"/>
      <c r="J126" s="308" t="str"/>
      <c r="K126" s="256" t="str"/>
      <c r="L126" s="305" t="str"/>
      <c r="M126" s="305" t="str"/>
      <c r="N126" s="256" t="str"/>
      <c r="O126" s="256" t="str"/>
      <c r="P126" s="306" t="str"/>
    </row>
    <row r="127" ht="20" customHeight="1" s="48">
      <c r="A127" s="304" t="str"/>
      <c r="B127" s="256" t="str"/>
      <c r="C127" s="256" t="str"/>
      <c r="D127" s="256" t="str"/>
      <c r="E127" s="256" t="str"/>
      <c r="F127" s="256" t="str"/>
      <c r="G127" s="256" t="str"/>
      <c r="H127" s="256" t="str"/>
      <c r="I127" s="256" t="str"/>
      <c r="J127" s="308" t="str"/>
      <c r="K127" s="256" t="str"/>
      <c r="L127" s="305" t="str"/>
      <c r="M127" s="305" t="str"/>
      <c r="N127" s="256" t="str"/>
      <c r="O127" s="256" t="str"/>
      <c r="P127" s="306" t="str"/>
    </row>
    <row r="128" ht="20" customHeight="1" s="48">
      <c r="A128" s="304" t="str"/>
      <c r="B128" s="256" t="str"/>
      <c r="C128" s="256" t="str"/>
      <c r="D128" s="256" t="str"/>
      <c r="E128" s="256" t="str"/>
      <c r="F128" s="256" t="str"/>
      <c r="G128" s="256" t="str"/>
      <c r="H128" s="256" t="str"/>
      <c r="I128" s="256" t="str"/>
      <c r="J128" s="308" t="str"/>
      <c r="K128" s="256" t="str"/>
      <c r="L128" s="305" t="str"/>
      <c r="M128" s="305" t="str"/>
      <c r="N128" s="256" t="str"/>
      <c r="O128" s="256" t="str"/>
      <c r="P128" s="306" t="str"/>
    </row>
    <row r="129" ht="20" customHeight="1" s="48">
      <c r="A129" s="304" t="str"/>
      <c r="B129" s="256" t="str"/>
      <c r="C129" s="256" t="str"/>
      <c r="D129" s="256" t="str"/>
      <c r="E129" s="256" t="str"/>
      <c r="F129" s="256" t="str"/>
      <c r="G129" s="256" t="str"/>
      <c r="H129" s="256" t="str"/>
      <c r="I129" s="256" t="str"/>
      <c r="J129" s="308" t="str"/>
      <c r="K129" s="256" t="str"/>
      <c r="L129" s="305" t="str"/>
      <c r="M129" s="305" t="str"/>
      <c r="N129" s="256" t="str"/>
      <c r="O129" s="256" t="str"/>
      <c r="P129" s="306" t="str"/>
    </row>
    <row r="130" ht="20" customHeight="1" s="48">
      <c r="A130" s="304" t="str"/>
      <c r="B130" s="256" t="str"/>
      <c r="C130" s="256" t="str"/>
      <c r="D130" s="256" t="str"/>
      <c r="E130" s="256" t="str"/>
      <c r="F130" s="256" t="str"/>
      <c r="G130" s="256" t="str"/>
      <c r="H130" s="256" t="str"/>
      <c r="I130" s="256" t="str"/>
      <c r="J130" s="308" t="str"/>
      <c r="K130" s="256" t="str"/>
      <c r="L130" s="305" t="str"/>
      <c r="M130" s="305" t="str"/>
      <c r="N130" s="256" t="str"/>
      <c r="O130" s="256" t="str"/>
      <c r="P130" s="306" t="str"/>
    </row>
    <row r="131" ht="20" customHeight="1" s="48">
      <c r="A131" s="304" t="str"/>
      <c r="B131" s="256" t="str"/>
      <c r="C131" s="256" t="str"/>
      <c r="D131" s="256" t="str"/>
      <c r="E131" s="256" t="str"/>
      <c r="F131" s="256" t="str"/>
      <c r="G131" s="256" t="str"/>
      <c r="H131" s="256" t="str"/>
      <c r="I131" s="256" t="str"/>
      <c r="J131" s="308" t="str"/>
      <c r="K131" s="256" t="str"/>
      <c r="L131" s="305" t="str"/>
      <c r="M131" s="305" t="str"/>
      <c r="N131" s="256" t="str"/>
      <c r="O131" s="256" t="str"/>
      <c r="P131" s="306" t="str"/>
    </row>
    <row r="132" ht="20" customHeight="1" s="48">
      <c r="A132" s="304" t="str"/>
      <c r="B132" s="256" t="str"/>
      <c r="C132" s="256" t="str"/>
      <c r="D132" s="256" t="str"/>
      <c r="E132" s="256" t="str"/>
      <c r="F132" s="256" t="str"/>
      <c r="G132" s="256" t="str"/>
      <c r="H132" s="256" t="str"/>
      <c r="I132" s="256" t="str"/>
      <c r="J132" s="308" t="str"/>
      <c r="K132" s="256" t="str"/>
      <c r="L132" s="305" t="str"/>
      <c r="M132" s="305" t="str"/>
      <c r="N132" s="256" t="str"/>
      <c r="O132" s="256" t="str"/>
      <c r="P132" s="306" t="str"/>
    </row>
    <row r="133" ht="20" customHeight="1" s="48">
      <c r="A133" s="304" t="str"/>
      <c r="B133" s="256" t="str"/>
      <c r="C133" s="256" t="str"/>
      <c r="D133" s="256" t="str"/>
      <c r="E133" s="256" t="str"/>
      <c r="F133" s="256" t="str"/>
      <c r="G133" s="256" t="str"/>
      <c r="H133" s="256" t="str"/>
      <c r="I133" s="256" t="str"/>
      <c r="J133" s="308" t="str"/>
      <c r="K133" s="256" t="str"/>
      <c r="L133" s="305" t="str"/>
      <c r="M133" s="305" t="str"/>
      <c r="N133" s="256" t="str"/>
      <c r="O133" s="256" t="str"/>
      <c r="P133" s="306" t="str"/>
    </row>
    <row r="134" ht="20" customHeight="1" s="48">
      <c r="A134" s="304" t="str"/>
      <c r="B134" s="256" t="str"/>
      <c r="C134" s="256" t="str"/>
      <c r="D134" s="256" t="str"/>
      <c r="E134" s="256" t="str"/>
      <c r="F134" s="256" t="str"/>
      <c r="G134" s="256" t="str"/>
      <c r="H134" s="256" t="str"/>
      <c r="I134" s="256" t="str"/>
      <c r="J134" s="308" t="str"/>
      <c r="K134" s="256" t="str"/>
      <c r="L134" s="305" t="str"/>
      <c r="M134" s="305" t="str"/>
      <c r="N134" s="256" t="str"/>
      <c r="O134" s="256" t="str"/>
      <c r="P134" s="306" t="str"/>
    </row>
    <row r="135" ht="20" customHeight="1" s="48">
      <c r="A135" s="304" t="str"/>
      <c r="B135" s="256" t="str"/>
      <c r="C135" s="256" t="str"/>
      <c r="D135" s="256" t="str"/>
      <c r="E135" s="256" t="str"/>
      <c r="F135" s="256" t="str"/>
      <c r="G135" s="256" t="str"/>
      <c r="H135" s="256" t="str"/>
      <c r="I135" s="256" t="str"/>
      <c r="J135" s="308" t="str"/>
      <c r="K135" s="256" t="str"/>
      <c r="L135" s="305" t="str"/>
      <c r="M135" s="305" t="str"/>
      <c r="N135" s="256" t="str"/>
      <c r="O135" s="256" t="str"/>
      <c r="P135" s="306" t="str"/>
    </row>
    <row r="136" ht="20" customHeight="1" s="48">
      <c r="A136" s="304" t="str"/>
      <c r="B136" s="256" t="str"/>
      <c r="C136" s="256" t="str"/>
      <c r="D136" s="256" t="str"/>
      <c r="E136" s="256" t="str"/>
      <c r="F136" s="256" t="str"/>
      <c r="G136" s="256" t="str"/>
      <c r="H136" s="256" t="str"/>
      <c r="I136" s="256" t="str"/>
      <c r="J136" s="308" t="str"/>
      <c r="K136" s="256" t="str"/>
      <c r="L136" s="305" t="str"/>
      <c r="M136" s="305" t="str"/>
      <c r="N136" s="256" t="str"/>
      <c r="O136" s="256" t="str"/>
      <c r="P136" s="306" t="str"/>
    </row>
    <row r="137" ht="20" customHeight="1" s="48">
      <c r="A137" s="304" t="str"/>
      <c r="B137" s="256" t="str"/>
      <c r="C137" s="256" t="str"/>
      <c r="D137" s="256" t="str"/>
      <c r="E137" s="256" t="str"/>
      <c r="F137" s="256" t="str"/>
      <c r="G137" s="256" t="str"/>
      <c r="H137" s="256" t="str"/>
      <c r="I137" s="256" t="str"/>
      <c r="J137" s="308" t="str"/>
      <c r="K137" s="256" t="str"/>
      <c r="L137" s="305" t="str"/>
      <c r="M137" s="305" t="str"/>
      <c r="N137" s="256" t="str"/>
      <c r="O137" s="256" t="str"/>
      <c r="P137" s="306" t="str"/>
    </row>
    <row r="138" ht="20" customHeight="1" s="48">
      <c r="A138" s="304" t="str"/>
      <c r="B138" s="256" t="str"/>
      <c r="C138" s="256" t="str"/>
      <c r="D138" s="256" t="str"/>
      <c r="E138" s="256" t="str"/>
      <c r="F138" s="256" t="str"/>
      <c r="G138" s="256" t="str"/>
      <c r="H138" s="256" t="str"/>
      <c r="I138" s="256" t="str"/>
      <c r="J138" s="308" t="str"/>
      <c r="K138" s="256" t="str"/>
      <c r="L138" s="305" t="str"/>
      <c r="M138" s="305" t="str"/>
      <c r="N138" s="256" t="str"/>
      <c r="O138" s="256" t="str"/>
      <c r="P138" s="306" t="str"/>
    </row>
    <row r="139" ht="20" customHeight="1" s="48">
      <c r="A139" s="304" t="str"/>
      <c r="B139" s="256" t="str"/>
      <c r="C139" s="256" t="str"/>
      <c r="D139" s="256" t="str"/>
      <c r="E139" s="256" t="str"/>
      <c r="F139" s="256" t="str"/>
      <c r="G139" s="256" t="str"/>
      <c r="H139" s="256" t="str"/>
      <c r="I139" s="256" t="str"/>
      <c r="J139" s="308" t="str"/>
      <c r="K139" s="256" t="str"/>
      <c r="L139" s="305" t="str"/>
      <c r="M139" s="305" t="str"/>
      <c r="N139" s="256" t="str"/>
      <c r="O139" s="256" t="str"/>
      <c r="P139" s="306" t="str"/>
    </row>
    <row r="140" ht="20" customHeight="1" s="48">
      <c r="A140" s="304" t="str"/>
      <c r="B140" s="256" t="str"/>
      <c r="C140" s="256" t="str"/>
      <c r="D140" s="256" t="str"/>
      <c r="E140" s="256" t="str"/>
      <c r="F140" s="256" t="str"/>
      <c r="G140" s="256" t="str"/>
      <c r="H140" s="256" t="str"/>
      <c r="I140" s="256" t="str"/>
      <c r="J140" s="308" t="str"/>
      <c r="K140" s="256" t="str"/>
      <c r="L140" s="305" t="str"/>
      <c r="M140" s="305" t="str"/>
      <c r="N140" s="256" t="str"/>
      <c r="O140" s="256" t="str"/>
      <c r="P140" s="306" t="str"/>
    </row>
    <row r="141" ht="20" customHeight="1" s="48">
      <c r="A141" s="304" t="str"/>
      <c r="B141" s="256" t="str"/>
      <c r="C141" s="256" t="str"/>
      <c r="D141" s="256" t="str"/>
      <c r="E141" s="256" t="str"/>
      <c r="F141" s="256" t="str"/>
      <c r="G141" s="256" t="str"/>
      <c r="H141" s="256" t="str"/>
      <c r="I141" s="256" t="str"/>
      <c r="J141" s="308" t="str"/>
      <c r="K141" s="256" t="str"/>
      <c r="L141" s="305" t="str"/>
      <c r="M141" s="305" t="str"/>
      <c r="N141" s="256" t="str"/>
      <c r="O141" s="256" t="str"/>
      <c r="P141" s="306" t="str"/>
    </row>
    <row r="142" ht="20" customHeight="1" s="48">
      <c r="A142" s="304" t="str"/>
      <c r="B142" s="256" t="str"/>
      <c r="C142" s="256" t="str"/>
      <c r="D142" s="256" t="str"/>
      <c r="E142" s="256" t="str"/>
      <c r="F142" s="256" t="str"/>
      <c r="G142" s="256" t="str"/>
      <c r="H142" s="256" t="str"/>
      <c r="I142" s="256" t="str"/>
      <c r="J142" s="308" t="str"/>
      <c r="K142" s="256" t="str"/>
      <c r="L142" s="305" t="str"/>
      <c r="M142" s="305" t="str"/>
      <c r="N142" s="256" t="str"/>
      <c r="O142" s="256" t="str"/>
      <c r="P142" s="306" t="str"/>
    </row>
    <row r="143" ht="20" customHeight="1" s="48">
      <c r="A143" s="304" t="str"/>
      <c r="B143" s="256" t="str"/>
      <c r="C143" s="256" t="str"/>
      <c r="D143" s="256" t="str"/>
      <c r="E143" s="256" t="str"/>
      <c r="F143" s="256" t="str"/>
      <c r="G143" s="256" t="str"/>
      <c r="H143" s="256" t="str"/>
      <c r="I143" s="256" t="str"/>
      <c r="J143" s="308" t="str"/>
      <c r="K143" s="256" t="str"/>
      <c r="L143" s="305" t="str"/>
      <c r="M143" s="305" t="str"/>
      <c r="N143" s="256" t="str"/>
      <c r="O143" s="256" t="str"/>
      <c r="P143" s="306" t="str"/>
    </row>
    <row r="144" ht="20" customHeight="1" s="48">
      <c r="A144" s="304" t="str"/>
      <c r="B144" s="256" t="str"/>
      <c r="C144" s="256" t="str"/>
      <c r="D144" s="256" t="str"/>
      <c r="E144" s="256" t="str"/>
      <c r="F144" s="256" t="str"/>
      <c r="G144" s="256" t="str"/>
      <c r="H144" s="256" t="str"/>
      <c r="I144" s="256" t="str"/>
      <c r="J144" s="308" t="str"/>
      <c r="K144" s="256" t="str"/>
      <c r="L144" s="305" t="str"/>
      <c r="M144" s="305" t="str"/>
      <c r="N144" s="256" t="str"/>
      <c r="O144" s="256" t="str"/>
      <c r="P144" s="306" t="str"/>
    </row>
    <row r="145" ht="20" customHeight="1" s="48">
      <c r="A145" s="304" t="str"/>
      <c r="B145" s="256" t="str"/>
      <c r="C145" s="256" t="str"/>
      <c r="D145" s="256" t="str"/>
      <c r="E145" s="256" t="str"/>
      <c r="F145" s="256" t="str"/>
      <c r="G145" s="256" t="str"/>
      <c r="H145" s="256" t="str"/>
      <c r="I145" s="256" t="str"/>
      <c r="J145" s="308" t="str"/>
      <c r="K145" s="256" t="str"/>
      <c r="L145" s="305" t="str"/>
      <c r="M145" s="305" t="str"/>
      <c r="N145" s="256" t="str"/>
      <c r="O145" s="256" t="str"/>
      <c r="P145" s="306" t="str"/>
    </row>
    <row r="146" ht="20" customHeight="1" s="48">
      <c r="A146" s="304" t="str"/>
      <c r="B146" s="256" t="str"/>
      <c r="C146" s="256" t="str"/>
      <c r="D146" s="256" t="str"/>
      <c r="E146" s="256" t="str"/>
      <c r="F146" s="256" t="str"/>
      <c r="G146" s="256" t="str"/>
      <c r="H146" s="256" t="str"/>
      <c r="I146" s="256" t="str"/>
      <c r="J146" s="308" t="str"/>
      <c r="K146" s="256" t="str"/>
      <c r="L146" s="305" t="str"/>
      <c r="M146" s="305" t="str"/>
      <c r="N146" s="256" t="str"/>
      <c r="O146" s="256" t="str"/>
      <c r="P146" s="306" t="str"/>
    </row>
    <row r="147" ht="20" customHeight="1" s="48">
      <c r="A147" s="304" t="str"/>
      <c r="B147" s="256" t="str"/>
      <c r="C147" s="256" t="str"/>
      <c r="D147" s="256" t="str"/>
      <c r="E147" s="256" t="str"/>
      <c r="F147" s="256" t="str"/>
      <c r="G147" s="256" t="str"/>
      <c r="H147" s="256" t="str"/>
      <c r="I147" s="256" t="str"/>
      <c r="J147" s="308" t="str"/>
      <c r="K147" s="256" t="str"/>
      <c r="L147" s="305" t="str"/>
      <c r="M147" s="305" t="str"/>
      <c r="N147" s="256" t="str"/>
      <c r="O147" s="256" t="str"/>
      <c r="P147" s="306" t="str"/>
    </row>
    <row r="148" ht="20" customHeight="1" s="48">
      <c r="A148" s="304" t="str"/>
      <c r="B148" s="256" t="str"/>
      <c r="C148" s="256" t="str"/>
      <c r="D148" s="256" t="str"/>
      <c r="E148" s="256" t="str"/>
      <c r="F148" s="256" t="str"/>
      <c r="G148" s="256" t="str"/>
      <c r="H148" s="256" t="str"/>
      <c r="I148" s="256" t="str"/>
      <c r="J148" s="308" t="str"/>
      <c r="K148" s="256" t="str"/>
      <c r="L148" s="305" t="str"/>
      <c r="M148" s="305" t="str"/>
      <c r="N148" s="256" t="str"/>
      <c r="O148" s="256" t="str"/>
      <c r="P148" s="306" t="str"/>
    </row>
    <row r="149" ht="20" customHeight="1" s="48">
      <c r="A149" s="304" t="str"/>
      <c r="B149" s="256" t="str"/>
      <c r="C149" s="256" t="str"/>
      <c r="D149" s="256" t="str"/>
      <c r="E149" s="256" t="str"/>
      <c r="F149" s="256" t="str"/>
      <c r="G149" s="256" t="str"/>
      <c r="H149" s="256" t="str"/>
      <c r="I149" s="256" t="str"/>
      <c r="J149" s="308" t="str"/>
      <c r="K149" s="256" t="str"/>
      <c r="L149" s="305" t="str"/>
      <c r="M149" s="305" t="str"/>
      <c r="N149" s="256" t="str"/>
      <c r="O149" s="256" t="str"/>
      <c r="P149" s="306" t="str"/>
    </row>
    <row r="150" ht="20" customHeight="1" s="48">
      <c r="A150" s="304" t="str"/>
      <c r="B150" s="256" t="str"/>
      <c r="C150" s="256" t="str"/>
      <c r="D150" s="256" t="str"/>
      <c r="E150" s="256" t="str"/>
      <c r="F150" s="256" t="str"/>
      <c r="G150" s="256" t="str"/>
      <c r="H150" s="256" t="str"/>
      <c r="I150" s="256" t="str"/>
      <c r="J150" s="308" t="str"/>
      <c r="K150" s="256" t="str"/>
      <c r="L150" s="305" t="str"/>
      <c r="M150" s="305" t="str"/>
      <c r="N150" s="256" t="str"/>
      <c r="O150" s="256" t="str"/>
      <c r="P150" s="306" t="str"/>
    </row>
    <row r="151" ht="20" customHeight="1" s="48">
      <c r="A151" s="304" t="str"/>
      <c r="B151" s="256" t="str"/>
      <c r="C151" s="256" t="str"/>
      <c r="D151" s="256" t="str"/>
      <c r="E151" s="256" t="str"/>
      <c r="F151" s="256" t="str"/>
      <c r="G151" s="256" t="str"/>
      <c r="H151" s="256" t="str"/>
      <c r="I151" s="256" t="str"/>
      <c r="J151" s="308" t="str"/>
      <c r="K151" s="256" t="str"/>
      <c r="L151" s="305" t="str"/>
      <c r="M151" s="305" t="str"/>
      <c r="N151" s="256" t="str"/>
      <c r="O151" s="256" t="str"/>
      <c r="P151" s="306" t="str"/>
    </row>
    <row r="152" ht="20" customHeight="1" s="48">
      <c r="A152" s="304" t="str"/>
      <c r="B152" s="256" t="str"/>
      <c r="C152" s="256" t="str"/>
      <c r="D152" s="256" t="str"/>
      <c r="E152" s="256" t="str"/>
      <c r="F152" s="256" t="str"/>
      <c r="G152" s="256" t="str"/>
      <c r="H152" s="256" t="str"/>
      <c r="I152" s="256" t="str"/>
      <c r="J152" s="308" t="str"/>
      <c r="K152" s="256" t="str"/>
      <c r="L152" s="305" t="str"/>
      <c r="M152" s="305" t="str"/>
      <c r="N152" s="256" t="str"/>
      <c r="O152" s="256" t="str"/>
      <c r="P152" s="306" t="str"/>
    </row>
    <row r="153" ht="20" customHeight="1" s="48">
      <c r="A153" s="304" t="str"/>
      <c r="B153" s="256" t="str"/>
      <c r="C153" s="256" t="str"/>
      <c r="D153" s="256" t="str"/>
      <c r="E153" s="256" t="str"/>
      <c r="F153" s="256" t="str"/>
      <c r="G153" s="256" t="str"/>
      <c r="H153" s="256" t="str"/>
      <c r="I153" s="256" t="str"/>
      <c r="J153" s="308" t="str"/>
      <c r="K153" s="256" t="str"/>
      <c r="L153" s="305" t="str"/>
      <c r="M153" s="305" t="str"/>
      <c r="N153" s="256" t="str"/>
      <c r="O153" s="256" t="str"/>
      <c r="P153" s="306" t="str"/>
    </row>
    <row r="154" ht="20" customHeight="1" s="48">
      <c r="A154" s="304" t="str"/>
      <c r="B154" s="256" t="str"/>
      <c r="C154" s="256" t="str"/>
      <c r="D154" s="256" t="str"/>
      <c r="E154" s="256" t="str"/>
      <c r="F154" s="256" t="str"/>
      <c r="G154" s="256" t="str"/>
      <c r="H154" s="256" t="str"/>
      <c r="I154" s="256" t="str"/>
      <c r="J154" s="308" t="str"/>
      <c r="K154" s="256" t="str"/>
      <c r="L154" s="305" t="str"/>
      <c r="M154" s="305" t="str"/>
      <c r="N154" s="256" t="str"/>
      <c r="O154" s="256" t="str"/>
      <c r="P154" s="306" t="str"/>
    </row>
    <row r="155" ht="20" customHeight="1" s="48">
      <c r="A155" s="304" t="str"/>
      <c r="B155" s="256" t="str"/>
      <c r="C155" s="256" t="str"/>
      <c r="D155" s="256" t="str"/>
      <c r="E155" s="256" t="str"/>
      <c r="F155" s="256" t="str"/>
      <c r="G155" s="256" t="str"/>
      <c r="H155" s="256" t="str"/>
      <c r="I155" s="256" t="str"/>
      <c r="J155" s="308" t="str"/>
      <c r="K155" s="256" t="str"/>
      <c r="L155" s="305" t="str"/>
      <c r="M155" s="305" t="str"/>
      <c r="N155" s="256" t="str"/>
      <c r="O155" s="256" t="str"/>
      <c r="P155" s="306" t="str"/>
    </row>
    <row r="156" ht="20" customHeight="1" s="48">
      <c r="A156" s="304" t="str"/>
      <c r="B156" s="256" t="str"/>
      <c r="C156" s="256" t="str"/>
      <c r="D156" s="256" t="str"/>
      <c r="E156" s="256" t="str"/>
      <c r="F156" s="256" t="str"/>
      <c r="G156" s="256" t="str"/>
      <c r="H156" s="256" t="str"/>
      <c r="I156" s="256" t="str"/>
      <c r="J156" s="308" t="str"/>
      <c r="K156" s="256" t="str"/>
      <c r="L156" s="305" t="str"/>
      <c r="M156" s="305" t="str"/>
      <c r="N156" s="256" t="str"/>
      <c r="O156" s="256" t="str"/>
      <c r="P156" s="306" t="str"/>
    </row>
    <row r="157" ht="20" customHeight="1" s="48">
      <c r="A157" s="304" t="str"/>
      <c r="B157" s="256" t="str"/>
      <c r="C157" s="256" t="str"/>
      <c r="D157" s="256" t="str"/>
      <c r="E157" s="256" t="str"/>
      <c r="F157" s="256" t="str"/>
      <c r="G157" s="256" t="str"/>
      <c r="H157" s="256" t="str"/>
      <c r="I157" s="256" t="str"/>
      <c r="J157" s="308" t="str"/>
      <c r="K157" s="256" t="str"/>
      <c r="L157" s="305" t="str"/>
      <c r="M157" s="305" t="str"/>
      <c r="N157" s="256" t="str"/>
      <c r="O157" s="256" t="str"/>
      <c r="P157" s="306" t="str"/>
    </row>
    <row r="158" ht="20" customHeight="1" s="48">
      <c r="A158" s="304" t="str"/>
      <c r="B158" s="256" t="str"/>
      <c r="C158" s="256" t="str"/>
      <c r="D158" s="256" t="str"/>
      <c r="E158" s="256" t="str"/>
      <c r="F158" s="256" t="str"/>
      <c r="G158" s="256" t="str"/>
      <c r="H158" s="256" t="str"/>
      <c r="I158" s="256" t="str"/>
      <c r="J158" s="308" t="str"/>
      <c r="K158" s="256" t="str"/>
      <c r="L158" s="305" t="str"/>
      <c r="M158" s="305" t="str"/>
      <c r="N158" s="256" t="str"/>
      <c r="O158" s="256" t="str"/>
      <c r="P158" s="306" t="str"/>
    </row>
    <row r="159" ht="20" customHeight="1" s="48">
      <c r="A159" s="304" t="str"/>
      <c r="B159" s="256" t="str"/>
      <c r="C159" s="256" t="str"/>
      <c r="D159" s="256" t="str"/>
      <c r="E159" s="256" t="str"/>
      <c r="F159" s="256" t="str"/>
      <c r="G159" s="256" t="str"/>
      <c r="H159" s="256" t="str"/>
      <c r="I159" s="256" t="str"/>
      <c r="J159" s="308" t="str"/>
      <c r="K159" s="256" t="str"/>
      <c r="L159" s="305" t="str"/>
      <c r="M159" s="305" t="str"/>
      <c r="N159" s="256" t="str"/>
      <c r="O159" s="256" t="str"/>
      <c r="P159" s="306" t="str"/>
    </row>
    <row r="160" ht="20" customHeight="1" s="48">
      <c r="A160" s="304" t="str"/>
      <c r="B160" s="256" t="str"/>
      <c r="C160" s="256" t="str"/>
      <c r="D160" s="256" t="str"/>
      <c r="E160" s="256" t="str"/>
      <c r="F160" s="256" t="str"/>
      <c r="G160" s="256" t="str"/>
      <c r="H160" s="256" t="str"/>
      <c r="I160" s="256" t="str"/>
      <c r="J160" s="308" t="str"/>
      <c r="K160" s="256" t="str"/>
      <c r="L160" s="305" t="str"/>
      <c r="M160" s="305" t="str"/>
      <c r="N160" s="256" t="str"/>
      <c r="O160" s="256" t="str"/>
      <c r="P160" s="306" t="str"/>
    </row>
    <row r="161" ht="20" customHeight="1" s="48">
      <c r="A161" s="304" t="str"/>
      <c r="B161" s="256" t="str"/>
      <c r="C161" s="256" t="str"/>
      <c r="D161" s="256" t="str"/>
      <c r="E161" s="256" t="str"/>
      <c r="F161" s="256" t="str"/>
      <c r="G161" s="256" t="str"/>
      <c r="H161" s="256" t="str"/>
      <c r="I161" s="256" t="str"/>
      <c r="J161" s="308" t="str"/>
      <c r="K161" s="256" t="str"/>
      <c r="L161" s="305" t="str"/>
      <c r="M161" s="305" t="str"/>
      <c r="N161" s="256" t="str"/>
      <c r="O161" s="256" t="str"/>
      <c r="P161" s="306" t="str"/>
    </row>
    <row r="162" ht="20" customHeight="1" s="48">
      <c r="A162" s="304" t="str"/>
      <c r="B162" s="256" t="str"/>
      <c r="C162" s="256" t="str"/>
      <c r="D162" s="256" t="str"/>
      <c r="E162" s="256" t="str"/>
      <c r="F162" s="256" t="str"/>
      <c r="G162" s="256" t="str"/>
      <c r="H162" s="256" t="str"/>
      <c r="I162" s="256" t="str"/>
      <c r="J162" s="308" t="str"/>
      <c r="K162" s="256" t="str"/>
      <c r="L162" s="305" t="str"/>
      <c r="M162" s="305" t="str"/>
      <c r="N162" s="256" t="str"/>
      <c r="O162" s="256" t="str"/>
      <c r="P162" s="306" t="str"/>
    </row>
    <row r="163" ht="20" customHeight="1" s="48">
      <c r="A163" s="304" t="str"/>
      <c r="B163" s="256" t="str"/>
      <c r="C163" s="256" t="str"/>
      <c r="D163" s="256" t="str"/>
      <c r="E163" s="256" t="str"/>
      <c r="F163" s="256" t="str"/>
      <c r="G163" s="256" t="str"/>
      <c r="H163" s="256" t="str"/>
      <c r="I163" s="256" t="str"/>
      <c r="J163" s="308" t="str"/>
      <c r="K163" s="256" t="str"/>
      <c r="L163" s="305" t="str"/>
      <c r="M163" s="305" t="str"/>
      <c r="N163" s="256" t="str"/>
      <c r="O163" s="256" t="str"/>
      <c r="P163" s="306" t="str"/>
    </row>
    <row r="164" ht="20" customHeight="1" s="48">
      <c r="A164" s="304" t="str"/>
      <c r="B164" s="256" t="str"/>
      <c r="C164" s="256" t="str"/>
      <c r="D164" s="256" t="str"/>
      <c r="E164" s="256" t="str"/>
      <c r="F164" s="256" t="str"/>
      <c r="G164" s="256" t="str"/>
      <c r="H164" s="256" t="str"/>
      <c r="I164" s="256" t="str"/>
      <c r="J164" s="308" t="str"/>
      <c r="K164" s="256" t="str"/>
      <c r="L164" s="305" t="str"/>
      <c r="M164" s="305" t="str"/>
      <c r="N164" s="256" t="str"/>
      <c r="O164" s="256" t="str"/>
      <c r="P164" s="306" t="str"/>
    </row>
    <row r="165" ht="20" customHeight="1" s="48">
      <c r="A165" s="304" t="str"/>
      <c r="B165" s="256" t="str"/>
      <c r="C165" s="256" t="str"/>
      <c r="D165" s="256" t="str"/>
      <c r="E165" s="256" t="str"/>
      <c r="F165" s="256" t="str"/>
      <c r="G165" s="256" t="str"/>
      <c r="H165" s="256" t="str"/>
      <c r="I165" s="256" t="str"/>
      <c r="J165" s="308" t="str"/>
      <c r="K165" s="256" t="str"/>
      <c r="L165" s="305" t="str"/>
      <c r="M165" s="305" t="str"/>
      <c r="N165" s="256" t="str"/>
      <c r="O165" s="256" t="str"/>
      <c r="P165" s="306" t="str"/>
    </row>
    <row r="166" ht="20" customHeight="1" s="48">
      <c r="A166" s="304" t="str"/>
      <c r="B166" s="256" t="str"/>
      <c r="C166" s="256" t="str"/>
      <c r="D166" s="256" t="str"/>
      <c r="E166" s="256" t="str"/>
      <c r="F166" s="256" t="str"/>
      <c r="G166" s="256" t="str"/>
      <c r="H166" s="256" t="str"/>
      <c r="I166" s="256" t="str"/>
      <c r="J166" s="308" t="str"/>
      <c r="K166" s="256" t="str"/>
      <c r="L166" s="305" t="str"/>
      <c r="M166" s="305" t="str"/>
      <c r="N166" s="256" t="str"/>
      <c r="O166" s="256" t="str"/>
      <c r="P166" s="306" t="str"/>
    </row>
    <row r="167" ht="20" customHeight="1" s="48">
      <c r="A167" s="304" t="str"/>
      <c r="B167" s="256" t="str"/>
      <c r="C167" s="256" t="str"/>
      <c r="D167" s="256" t="str"/>
      <c r="E167" s="256" t="str"/>
      <c r="F167" s="256" t="str"/>
      <c r="G167" s="256" t="str"/>
      <c r="H167" s="256" t="str"/>
      <c r="I167" s="256" t="str"/>
      <c r="J167" s="308" t="str"/>
      <c r="K167" s="256" t="str"/>
      <c r="L167" s="305" t="str"/>
      <c r="M167" s="305" t="str"/>
      <c r="N167" s="256" t="str"/>
      <c r="O167" s="256" t="str"/>
      <c r="P167" s="306" t="str"/>
    </row>
    <row r="168" ht="20" customHeight="1" s="48">
      <c r="A168" s="304" t="str"/>
      <c r="B168" s="256" t="str"/>
      <c r="C168" s="256" t="str"/>
      <c r="D168" s="256" t="str"/>
      <c r="E168" s="256" t="str"/>
      <c r="F168" s="256" t="str"/>
      <c r="G168" s="256" t="str"/>
      <c r="H168" s="256" t="str"/>
      <c r="I168" s="256" t="str"/>
      <c r="J168" s="308" t="str"/>
      <c r="K168" s="256" t="str"/>
      <c r="L168" s="305" t="str"/>
      <c r="M168" s="305" t="str"/>
      <c r="N168" s="256" t="str"/>
      <c r="O168" s="256" t="str"/>
      <c r="P168" s="306" t="str"/>
    </row>
    <row r="169" ht="20" customHeight="1" s="48">
      <c r="A169" s="304" t="str"/>
      <c r="B169" s="256" t="str"/>
      <c r="C169" s="256" t="str"/>
      <c r="D169" s="256" t="str"/>
      <c r="E169" s="256" t="str"/>
      <c r="F169" s="256" t="str"/>
      <c r="G169" s="256" t="str"/>
      <c r="H169" s="256" t="str"/>
      <c r="I169" s="256" t="str"/>
      <c r="J169" s="308" t="str"/>
      <c r="K169" s="256" t="str"/>
      <c r="L169" s="305" t="str"/>
      <c r="M169" s="305" t="str"/>
      <c r="N169" s="256" t="str"/>
      <c r="O169" s="256" t="str"/>
      <c r="P169" s="306" t="str"/>
    </row>
    <row r="170" ht="20" customHeight="1" s="48">
      <c r="A170" s="304" t="str"/>
      <c r="B170" s="256" t="str"/>
      <c r="C170" s="256" t="str"/>
      <c r="D170" s="256" t="str"/>
      <c r="E170" s="256" t="str"/>
      <c r="F170" s="256" t="str"/>
      <c r="G170" s="256" t="str"/>
      <c r="H170" s="256" t="str"/>
      <c r="I170" s="256" t="str"/>
      <c r="J170" s="308" t="str"/>
      <c r="K170" s="256" t="str"/>
      <c r="L170" s="305" t="str"/>
      <c r="M170" s="305" t="str"/>
      <c r="N170" s="256" t="str"/>
      <c r="O170" s="256" t="str"/>
      <c r="P170" s="306" t="str"/>
    </row>
    <row r="171" ht="20" customHeight="1" s="48">
      <c r="A171" s="304" t="str"/>
      <c r="B171" s="256" t="str"/>
      <c r="C171" s="256" t="str"/>
      <c r="D171" s="256" t="str"/>
      <c r="E171" s="256" t="str"/>
      <c r="F171" s="256" t="str"/>
      <c r="G171" s="256" t="str"/>
      <c r="H171" s="256" t="str"/>
      <c r="I171" s="256" t="str"/>
      <c r="J171" s="308" t="str"/>
      <c r="K171" s="256" t="str"/>
      <c r="L171" s="305" t="str"/>
      <c r="M171" s="305" t="str"/>
      <c r="N171" s="256" t="str"/>
      <c r="O171" s="256" t="str"/>
      <c r="P171" s="306" t="str"/>
    </row>
    <row r="172" ht="20" customHeight="1" s="48">
      <c r="A172" s="304" t="str"/>
      <c r="B172" s="256" t="str"/>
      <c r="C172" s="256" t="str"/>
      <c r="D172" s="256" t="str"/>
      <c r="E172" s="256" t="str"/>
      <c r="F172" s="256" t="str"/>
      <c r="G172" s="256" t="str"/>
      <c r="H172" s="256" t="str"/>
      <c r="I172" s="256" t="str"/>
      <c r="J172" s="308" t="str"/>
      <c r="K172" s="256" t="str"/>
      <c r="L172" s="305" t="str"/>
      <c r="M172" s="305" t="str"/>
      <c r="N172" s="256" t="str"/>
      <c r="O172" s="256" t="str"/>
      <c r="P172" s="306" t="str"/>
    </row>
    <row r="173" ht="20" customHeight="1" s="48">
      <c r="A173" s="304" t="str"/>
      <c r="B173" s="256" t="str"/>
      <c r="C173" s="256" t="str"/>
      <c r="D173" s="256" t="str"/>
      <c r="E173" s="256" t="str"/>
      <c r="F173" s="256" t="str"/>
      <c r="G173" s="256" t="str"/>
      <c r="H173" s="256" t="str"/>
      <c r="I173" s="256" t="str"/>
      <c r="J173" s="308" t="str"/>
      <c r="K173" s="256" t="str"/>
      <c r="L173" s="305" t="str"/>
      <c r="M173" s="305" t="str"/>
      <c r="N173" s="256" t="str"/>
      <c r="O173" s="256" t="str"/>
      <c r="P173" s="306" t="str"/>
    </row>
    <row r="174" ht="20" customHeight="1" s="48">
      <c r="A174" s="304" t="str"/>
      <c r="B174" s="256" t="str"/>
      <c r="C174" s="256" t="str"/>
      <c r="D174" s="256" t="str"/>
      <c r="E174" s="256" t="str"/>
      <c r="F174" s="256" t="str"/>
      <c r="G174" s="256" t="str"/>
      <c r="H174" s="256" t="str"/>
      <c r="I174" s="256" t="str"/>
      <c r="J174" s="308" t="str"/>
      <c r="K174" s="256" t="str"/>
      <c r="L174" s="305" t="str"/>
      <c r="M174" s="305" t="str"/>
      <c r="N174" s="256" t="str"/>
      <c r="O174" s="256" t="str"/>
      <c r="P174" s="306" t="str"/>
    </row>
    <row r="175" ht="20" customHeight="1" s="48">
      <c r="A175" s="304" t="str"/>
      <c r="B175" s="256" t="str"/>
      <c r="C175" s="256" t="str"/>
      <c r="D175" s="256" t="str"/>
      <c r="E175" s="256" t="str"/>
      <c r="F175" s="256" t="str"/>
      <c r="G175" s="256" t="str"/>
      <c r="H175" s="256" t="str"/>
      <c r="I175" s="256" t="str"/>
      <c r="J175" s="308" t="str"/>
      <c r="K175" s="256" t="str"/>
      <c r="L175" s="305" t="str"/>
      <c r="M175" s="305" t="str"/>
      <c r="N175" s="256" t="str"/>
      <c r="O175" s="256" t="str"/>
      <c r="P175" s="306" t="str"/>
    </row>
    <row r="176" ht="20" customHeight="1" s="48">
      <c r="A176" s="304" t="str"/>
      <c r="B176" s="256" t="str"/>
      <c r="C176" s="256" t="str"/>
      <c r="D176" s="256" t="str"/>
      <c r="E176" s="256" t="str"/>
      <c r="F176" s="256" t="str"/>
      <c r="G176" s="256" t="str"/>
      <c r="H176" s="256" t="str"/>
      <c r="I176" s="256" t="str"/>
      <c r="J176" s="308" t="str"/>
      <c r="K176" s="256" t="str"/>
      <c r="L176" s="305" t="str"/>
      <c r="M176" s="305" t="str"/>
      <c r="N176" s="256" t="str"/>
      <c r="O176" s="256" t="str"/>
      <c r="P176" s="306" t="str"/>
    </row>
    <row r="177" ht="20" customHeight="1" s="48">
      <c r="A177" s="304" t="str"/>
      <c r="B177" s="256" t="str"/>
      <c r="C177" s="256" t="str"/>
      <c r="D177" s="256" t="str"/>
      <c r="E177" s="256" t="str"/>
      <c r="F177" s="256" t="str"/>
      <c r="G177" s="256" t="str"/>
      <c r="H177" s="256" t="str"/>
      <c r="I177" s="256" t="str"/>
      <c r="J177" s="308" t="str"/>
      <c r="K177" s="256" t="str"/>
      <c r="L177" s="305" t="str"/>
      <c r="M177" s="305" t="str"/>
      <c r="N177" s="256" t="str"/>
      <c r="O177" s="256" t="str"/>
      <c r="P177" s="306" t="str"/>
    </row>
    <row r="178" ht="20" customHeight="1" s="48">
      <c r="A178" s="304" t="str"/>
      <c r="B178" s="256" t="str"/>
      <c r="C178" s="256" t="str"/>
      <c r="D178" s="256" t="str"/>
      <c r="E178" s="256" t="str"/>
      <c r="F178" s="256" t="str"/>
      <c r="G178" s="256" t="str"/>
      <c r="H178" s="256" t="str"/>
      <c r="I178" s="256" t="str"/>
      <c r="J178" s="308" t="str"/>
      <c r="K178" s="256" t="str"/>
      <c r="L178" s="305" t="str"/>
      <c r="M178" s="305" t="str"/>
      <c r="N178" s="256" t="str"/>
      <c r="O178" s="256" t="str"/>
      <c r="P178" s="306" t="str"/>
    </row>
    <row r="179" ht="20" customHeight="1" s="48">
      <c r="A179" s="304" t="str"/>
      <c r="B179" s="256" t="str"/>
      <c r="C179" s="256" t="str"/>
      <c r="D179" s="256" t="str"/>
      <c r="E179" s="256" t="str"/>
      <c r="F179" s="256" t="str"/>
      <c r="G179" s="256" t="str"/>
      <c r="H179" s="256" t="str"/>
      <c r="I179" s="256" t="str"/>
      <c r="J179" s="308" t="str"/>
      <c r="K179" s="256" t="str"/>
      <c r="L179" s="305" t="str"/>
      <c r="M179" s="305" t="str"/>
      <c r="N179" s="256" t="str"/>
      <c r="O179" s="256" t="str"/>
      <c r="P179" s="306" t="str"/>
    </row>
    <row r="180" ht="20" customHeight="1" s="48">
      <c r="A180" s="304" t="str"/>
      <c r="B180" s="256" t="str"/>
      <c r="C180" s="256" t="str"/>
      <c r="D180" s="256" t="str"/>
      <c r="E180" s="256" t="str"/>
      <c r="F180" s="256" t="str"/>
      <c r="G180" s="256" t="str"/>
      <c r="H180" s="256" t="str"/>
      <c r="I180" s="256" t="str"/>
      <c r="J180" s="308" t="str"/>
      <c r="K180" s="256" t="str"/>
      <c r="L180" s="305" t="str"/>
      <c r="M180" s="305" t="str"/>
      <c r="N180" s="256" t="str"/>
      <c r="O180" s="256" t="str"/>
      <c r="P180" s="306" t="str"/>
    </row>
    <row r="181" ht="20" customHeight="1" s="48">
      <c r="A181" s="304" t="str"/>
      <c r="B181" s="256" t="str"/>
      <c r="C181" s="256" t="str"/>
      <c r="D181" s="256" t="str"/>
      <c r="E181" s="256" t="str"/>
      <c r="F181" s="256" t="str"/>
      <c r="G181" s="256" t="str"/>
      <c r="H181" s="256" t="str"/>
      <c r="I181" s="256" t="str"/>
      <c r="J181" s="308" t="str"/>
      <c r="K181" s="256" t="str"/>
      <c r="L181" s="305" t="str"/>
      <c r="M181" s="305" t="str"/>
      <c r="N181" s="256" t="str"/>
      <c r="O181" s="256" t="str"/>
      <c r="P181" s="306" t="str"/>
    </row>
    <row r="182" ht="20" customHeight="1" s="48">
      <c r="A182" s="304" t="str"/>
      <c r="B182" s="256" t="str"/>
      <c r="C182" s="256" t="str"/>
      <c r="D182" s="256" t="str"/>
      <c r="E182" s="256" t="str"/>
      <c r="F182" s="256" t="str"/>
      <c r="G182" s="256" t="str"/>
      <c r="H182" s="256" t="str"/>
      <c r="I182" s="256" t="str"/>
      <c r="J182" s="308" t="str"/>
      <c r="K182" s="256" t="str"/>
      <c r="L182" s="305" t="str"/>
      <c r="M182" s="305" t="str"/>
      <c r="N182" s="256" t="str"/>
      <c r="O182" s="256" t="str"/>
      <c r="P182" s="306" t="str"/>
    </row>
    <row r="183" ht="20" customHeight="1" s="48">
      <c r="A183" s="304" t="str"/>
      <c r="B183" s="256" t="str"/>
      <c r="C183" s="256" t="str"/>
      <c r="D183" s="256" t="str"/>
      <c r="E183" s="256" t="str"/>
      <c r="F183" s="256" t="str"/>
      <c r="G183" s="256" t="str"/>
      <c r="H183" s="256" t="str"/>
      <c r="I183" s="256" t="str"/>
      <c r="J183" s="308" t="str"/>
      <c r="K183" s="256" t="str"/>
      <c r="L183" s="305" t="str"/>
      <c r="M183" s="305" t="str"/>
      <c r="N183" s="256" t="str"/>
      <c r="O183" s="256" t="str"/>
      <c r="P183" s="306" t="str"/>
    </row>
    <row r="184" ht="20" customHeight="1" s="48">
      <c r="A184" s="304" t="str"/>
      <c r="B184" s="256" t="str"/>
      <c r="C184" s="256" t="str"/>
      <c r="D184" s="256" t="str"/>
      <c r="E184" s="256" t="str"/>
      <c r="F184" s="256" t="str"/>
      <c r="G184" s="256" t="str"/>
      <c r="H184" s="256" t="str"/>
      <c r="I184" s="256" t="str"/>
      <c r="J184" s="308" t="str"/>
      <c r="K184" s="256" t="str"/>
      <c r="L184" s="305" t="str"/>
      <c r="M184" s="305" t="str"/>
      <c r="N184" s="256" t="str"/>
      <c r="O184" s="256" t="str"/>
      <c r="P184" s="306" t="str"/>
    </row>
    <row r="185" ht="20" customHeight="1" s="48">
      <c r="A185" s="304" t="str"/>
      <c r="B185" s="256" t="str"/>
      <c r="C185" s="256" t="str"/>
      <c r="D185" s="256" t="str"/>
      <c r="E185" s="256" t="str"/>
      <c r="F185" s="256" t="str"/>
      <c r="G185" s="256" t="str"/>
      <c r="H185" s="256" t="str"/>
      <c r="I185" s="256" t="str"/>
      <c r="J185" s="308" t="str"/>
      <c r="K185" s="256" t="str"/>
      <c r="L185" s="305" t="str"/>
      <c r="M185" s="305" t="str"/>
      <c r="N185" s="256" t="str"/>
      <c r="O185" s="256" t="str"/>
      <c r="P185" s="306" t="str"/>
    </row>
    <row r="186" ht="20" customHeight="1" s="48">
      <c r="A186" s="304" t="str"/>
      <c r="B186" s="256" t="str"/>
      <c r="C186" s="256" t="str"/>
      <c r="D186" s="256" t="str"/>
      <c r="E186" s="256" t="str"/>
      <c r="F186" s="256" t="str"/>
      <c r="G186" s="256" t="str"/>
      <c r="H186" s="256" t="str"/>
      <c r="I186" s="256" t="str"/>
      <c r="J186" s="308" t="str"/>
      <c r="K186" s="256" t="str"/>
      <c r="L186" s="305" t="str"/>
      <c r="M186" s="305" t="str"/>
      <c r="N186" s="256" t="str"/>
      <c r="O186" s="256" t="str"/>
      <c r="P186" s="306" t="str"/>
    </row>
    <row r="187" ht="20" customHeight="1" s="48">
      <c r="A187" s="304" t="str"/>
      <c r="B187" s="256" t="str"/>
      <c r="C187" s="256" t="str"/>
      <c r="D187" s="256" t="str"/>
      <c r="E187" s="256" t="str"/>
      <c r="F187" s="256" t="str"/>
      <c r="G187" s="256" t="str"/>
      <c r="H187" s="256" t="str"/>
      <c r="I187" s="256" t="str"/>
      <c r="J187" s="308" t="str"/>
      <c r="K187" s="256" t="str"/>
      <c r="L187" s="305" t="str"/>
      <c r="M187" s="305" t="str"/>
      <c r="N187" s="256" t="str"/>
      <c r="O187" s="256" t="str"/>
      <c r="P187" s="306" t="str"/>
    </row>
    <row r="188" ht="20" customHeight="1" s="48">
      <c r="A188" s="304" t="str"/>
      <c r="B188" s="256" t="str"/>
      <c r="C188" s="256" t="str"/>
      <c r="D188" s="256" t="str"/>
      <c r="E188" s="256" t="str"/>
      <c r="F188" s="256" t="str"/>
      <c r="G188" s="256" t="str"/>
      <c r="H188" s="256" t="str"/>
      <c r="I188" s="256" t="str"/>
      <c r="J188" s="308" t="str"/>
      <c r="K188" s="256" t="str"/>
      <c r="L188" s="305" t="str"/>
      <c r="M188" s="305" t="str"/>
      <c r="N188" s="256" t="str"/>
      <c r="O188" s="256" t="str"/>
      <c r="P188" s="306" t="str"/>
    </row>
    <row r="189" ht="20" customHeight="1" s="48">
      <c r="A189" s="304" t="str"/>
      <c r="B189" s="256" t="str"/>
      <c r="C189" s="256" t="str"/>
      <c r="D189" s="256" t="str"/>
      <c r="E189" s="256" t="str"/>
      <c r="F189" s="256" t="str"/>
      <c r="G189" s="256" t="str"/>
      <c r="H189" s="256" t="str"/>
      <c r="I189" s="256" t="str"/>
      <c r="J189" s="308" t="str"/>
      <c r="K189" s="256" t="str"/>
      <c r="L189" s="305" t="str"/>
      <c r="M189" s="305" t="str"/>
      <c r="N189" s="256" t="str"/>
      <c r="O189" s="256" t="str"/>
      <c r="P189" s="306" t="str"/>
    </row>
    <row r="190" ht="20" customHeight="1" s="48">
      <c r="A190" s="304" t="str"/>
      <c r="B190" s="256" t="str"/>
      <c r="C190" s="256" t="str"/>
      <c r="D190" s="256" t="str"/>
      <c r="E190" s="256" t="str"/>
      <c r="F190" s="256" t="str"/>
      <c r="G190" s="256" t="str"/>
      <c r="H190" s="256" t="str"/>
      <c r="I190" s="256" t="str"/>
      <c r="J190" s="308" t="str"/>
      <c r="K190" s="256" t="str"/>
      <c r="L190" s="305" t="str"/>
      <c r="M190" s="305" t="str"/>
      <c r="N190" s="256" t="str"/>
      <c r="O190" s="256" t="str"/>
      <c r="P190" s="306" t="str"/>
    </row>
    <row r="191" ht="20" customHeight="1" s="48">
      <c r="A191" s="304" t="str"/>
      <c r="B191" s="256" t="str"/>
      <c r="C191" s="256" t="str"/>
      <c r="D191" s="256" t="str"/>
      <c r="E191" s="256" t="str"/>
      <c r="F191" s="256" t="str"/>
      <c r="G191" s="256" t="str"/>
      <c r="H191" s="256" t="str"/>
      <c r="I191" s="256" t="str"/>
      <c r="J191" s="308" t="str"/>
      <c r="K191" s="256" t="str"/>
      <c r="L191" s="305" t="str"/>
      <c r="M191" s="305" t="str"/>
      <c r="N191" s="256" t="str"/>
      <c r="O191" s="256" t="str"/>
      <c r="P191" s="306" t="str"/>
    </row>
    <row r="192" ht="20" customHeight="1" s="48">
      <c r="A192" s="304" t="str"/>
      <c r="B192" s="256" t="str"/>
      <c r="C192" s="256" t="str"/>
      <c r="D192" s="256" t="str"/>
      <c r="E192" s="256" t="str"/>
      <c r="F192" s="256" t="str"/>
      <c r="G192" s="256" t="str"/>
      <c r="H192" s="256" t="str"/>
      <c r="I192" s="256" t="str"/>
      <c r="J192" s="308" t="str"/>
      <c r="K192" s="256" t="str"/>
      <c r="L192" s="305" t="str"/>
      <c r="M192" s="305" t="str"/>
      <c r="N192" s="256" t="str"/>
      <c r="O192" s="256" t="str"/>
      <c r="P192" s="306" t="str"/>
    </row>
    <row r="193" ht="20" customHeight="1" s="48">
      <c r="A193" s="304" t="str"/>
      <c r="B193" s="256" t="str"/>
      <c r="C193" s="256" t="str"/>
      <c r="D193" s="256" t="str"/>
      <c r="E193" s="256" t="str"/>
      <c r="F193" s="256" t="str"/>
      <c r="G193" s="256" t="str"/>
      <c r="H193" s="256" t="str"/>
      <c r="I193" s="256" t="str"/>
      <c r="J193" s="308" t="str"/>
      <c r="K193" s="256" t="str"/>
      <c r="L193" s="305" t="str"/>
      <c r="M193" s="305" t="str"/>
      <c r="N193" s="256" t="str"/>
      <c r="O193" s="256" t="str"/>
      <c r="P193" s="306" t="str"/>
    </row>
    <row r="194" ht="20" customHeight="1" s="48">
      <c r="A194" s="304" t="str"/>
      <c r="B194" s="256" t="str"/>
      <c r="C194" s="256" t="str"/>
      <c r="D194" s="256" t="str"/>
      <c r="E194" s="256" t="str"/>
      <c r="F194" s="256" t="str"/>
      <c r="G194" s="256" t="str"/>
      <c r="H194" s="256" t="str"/>
      <c r="I194" s="256" t="str"/>
      <c r="J194" s="308" t="str"/>
      <c r="K194" s="256" t="str"/>
      <c r="L194" s="305" t="str"/>
      <c r="M194" s="305" t="str"/>
      <c r="N194" s="256" t="str"/>
      <c r="O194" s="256" t="str"/>
      <c r="P194" s="306" t="str"/>
    </row>
    <row r="195" ht="20" customHeight="1" s="48">
      <c r="A195" s="304" t="str"/>
      <c r="B195" s="256" t="str"/>
      <c r="C195" s="256" t="str"/>
      <c r="D195" s="256" t="str"/>
      <c r="E195" s="256" t="str"/>
      <c r="F195" s="256" t="str"/>
      <c r="G195" s="256" t="str"/>
      <c r="H195" s="256" t="str"/>
      <c r="I195" s="256" t="str"/>
      <c r="J195" s="308" t="str"/>
      <c r="K195" s="256" t="str"/>
      <c r="L195" s="305" t="str"/>
      <c r="M195" s="305" t="str"/>
      <c r="N195" s="256" t="str"/>
      <c r="O195" s="256" t="str"/>
      <c r="P195" s="306" t="str"/>
    </row>
    <row r="196" ht="20" customHeight="1" s="48">
      <c r="A196" s="304" t="str"/>
      <c r="B196" s="256" t="str"/>
      <c r="C196" s="256" t="str"/>
      <c r="D196" s="256" t="str"/>
      <c r="E196" s="256" t="str"/>
      <c r="F196" s="256" t="str"/>
      <c r="G196" s="256" t="str"/>
      <c r="H196" s="256" t="str"/>
      <c r="I196" s="256" t="str"/>
      <c r="J196" s="308" t="str"/>
      <c r="K196" s="256" t="str"/>
      <c r="L196" s="305" t="str"/>
      <c r="M196" s="305" t="str"/>
      <c r="N196" s="256" t="str"/>
      <c r="O196" s="256" t="str"/>
      <c r="P196" s="306" t="str"/>
    </row>
    <row r="197" ht="20" customHeight="1" s="48">
      <c r="A197" s="304" t="str"/>
      <c r="B197" s="256" t="str"/>
      <c r="C197" s="256" t="str"/>
      <c r="D197" s="256" t="str"/>
      <c r="E197" s="256" t="str"/>
      <c r="F197" s="256" t="str"/>
      <c r="G197" s="256" t="str"/>
      <c r="H197" s="256" t="str"/>
      <c r="I197" s="256" t="str"/>
      <c r="J197" s="308" t="str"/>
      <c r="K197" s="256" t="str"/>
      <c r="L197" s="305" t="str"/>
      <c r="M197" s="305" t="str"/>
      <c r="N197" s="256" t="str"/>
      <c r="O197" s="256" t="str"/>
      <c r="P197" s="306" t="str"/>
    </row>
    <row r="198" ht="20" customHeight="1" s="48">
      <c r="A198" s="304" t="str"/>
      <c r="B198" s="256" t="str"/>
      <c r="C198" s="256" t="str"/>
      <c r="D198" s="256" t="str"/>
      <c r="E198" s="256" t="str"/>
      <c r="F198" s="256" t="str"/>
      <c r="G198" s="256" t="str"/>
      <c r="H198" s="256" t="str"/>
      <c r="I198" s="256" t="str"/>
      <c r="J198" s="308" t="str"/>
      <c r="K198" s="256" t="str"/>
      <c r="L198" s="305" t="str"/>
      <c r="M198" s="305" t="str"/>
      <c r="N198" s="256" t="str"/>
      <c r="O198" s="256" t="str"/>
      <c r="P198" s="306" t="str"/>
    </row>
    <row r="199" ht="20" customHeight="1" s="48">
      <c r="A199" s="304" t="str"/>
      <c r="B199" s="256" t="str"/>
      <c r="C199" s="256" t="str"/>
      <c r="D199" s="256" t="str"/>
      <c r="E199" s="256" t="str"/>
      <c r="F199" s="256" t="str"/>
      <c r="G199" s="256" t="str"/>
      <c r="H199" s="256" t="str"/>
      <c r="I199" s="256" t="str"/>
      <c r="J199" s="308" t="str"/>
      <c r="K199" s="256" t="str"/>
      <c r="L199" s="305" t="str"/>
      <c r="M199" s="305" t="str"/>
      <c r="N199" s="256" t="str"/>
      <c r="O199" s="256" t="str"/>
      <c r="P199" s="306" t="str"/>
    </row>
    <row r="200" ht="20" customHeight="1" s="48">
      <c r="A200" s="304" t="str"/>
      <c r="B200" s="256" t="str"/>
      <c r="C200" s="256" t="str"/>
      <c r="D200" s="256" t="str"/>
      <c r="E200" s="256" t="str"/>
      <c r="F200" s="256" t="str"/>
      <c r="G200" s="256" t="str"/>
      <c r="H200" s="256" t="str"/>
      <c r="I200" s="256" t="str"/>
      <c r="J200" s="308" t="str"/>
      <c r="K200" s="256" t="str"/>
      <c r="L200" s="305" t="str"/>
      <c r="M200" s="305" t="str"/>
      <c r="N200" s="256" t="str"/>
      <c r="O200" s="256" t="str"/>
      <c r="P200" s="306" t="str"/>
    </row>
    <row r="201" ht="20" customHeight="1" s="48">
      <c r="A201" s="304" t="str"/>
      <c r="B201" s="256" t="str"/>
      <c r="C201" s="256" t="str"/>
      <c r="D201" s="256" t="str"/>
      <c r="E201" s="256" t="str"/>
      <c r="F201" s="256" t="str"/>
      <c r="G201" s="256" t="str"/>
      <c r="H201" s="256" t="str"/>
      <c r="I201" s="256" t="str"/>
      <c r="J201" s="308" t="str"/>
      <c r="K201" s="256" t="str"/>
      <c r="L201" s="305" t="str"/>
      <c r="M201" s="305" t="str"/>
      <c r="N201" s="256" t="str"/>
      <c r="O201" s="256" t="str"/>
      <c r="P201" s="306" t="str"/>
    </row>
    <row r="202" ht="20" customHeight="1" s="48">
      <c r="A202" s="304" t="str"/>
      <c r="B202" s="256" t="str"/>
      <c r="C202" s="256" t="str"/>
      <c r="D202" s="256" t="str"/>
      <c r="E202" s="256" t="str"/>
      <c r="F202" s="256" t="str"/>
      <c r="G202" s="256" t="str"/>
      <c r="H202" s="256" t="str"/>
      <c r="I202" s="256" t="str"/>
      <c r="J202" s="308" t="str"/>
      <c r="K202" s="256" t="str"/>
      <c r="L202" s="305" t="str"/>
      <c r="M202" s="305" t="str"/>
      <c r="N202" s="256" t="str"/>
      <c r="O202" s="256" t="str"/>
      <c r="P202" s="306" t="str"/>
    </row>
    <row r="203" ht="20" customHeight="1" s="48">
      <c r="A203" s="304" t="str"/>
      <c r="B203" s="256" t="str"/>
      <c r="C203" s="256" t="str"/>
      <c r="D203" s="256" t="str"/>
      <c r="E203" s="256" t="str"/>
      <c r="F203" s="256" t="str"/>
      <c r="G203" s="256" t="str"/>
      <c r="H203" s="256" t="str"/>
      <c r="I203" s="256" t="str"/>
      <c r="J203" s="308" t="str"/>
      <c r="K203" s="256" t="str"/>
      <c r="L203" s="305" t="str"/>
      <c r="M203" s="305" t="str"/>
      <c r="N203" s="256" t="str"/>
      <c r="O203" s="256" t="str"/>
      <c r="P203" s="306" t="str"/>
    </row>
    <row r="204" ht="20" customHeight="1" s="48">
      <c r="A204" s="304" t="str"/>
      <c r="B204" s="256" t="str"/>
      <c r="C204" s="256" t="str"/>
      <c r="D204" s="256" t="str"/>
      <c r="E204" s="256" t="str"/>
      <c r="F204" s="256" t="str"/>
      <c r="G204" s="256" t="str"/>
      <c r="H204" s="256" t="str"/>
      <c r="I204" s="256" t="str"/>
      <c r="J204" s="308" t="str"/>
      <c r="K204" s="256" t="str"/>
      <c r="L204" s="305" t="str"/>
      <c r="M204" s="305" t="str"/>
      <c r="N204" s="256" t="str"/>
      <c r="O204" s="256" t="str"/>
      <c r="P204" s="306" t="str"/>
    </row>
    <row r="205" ht="20" customHeight="1" s="48">
      <c r="A205" s="304" t="str"/>
      <c r="B205" s="256" t="str"/>
      <c r="C205" s="256" t="str"/>
      <c r="D205" s="256" t="str"/>
      <c r="E205" s="256" t="str"/>
      <c r="F205" s="256" t="str"/>
      <c r="G205" s="256" t="str"/>
      <c r="H205" s="256" t="str"/>
      <c r="I205" s="256" t="str"/>
      <c r="J205" s="308" t="str"/>
      <c r="K205" s="256" t="str"/>
      <c r="L205" s="305" t="str"/>
      <c r="M205" s="305" t="str"/>
      <c r="N205" s="256" t="str"/>
      <c r="O205" s="256" t="str"/>
      <c r="P205" s="306" t="str"/>
    </row>
    <row r="206" ht="20" customHeight="1" s="48">
      <c r="A206" s="304" t="str"/>
      <c r="B206" s="256" t="str"/>
      <c r="C206" s="256" t="str"/>
      <c r="D206" s="256" t="str"/>
      <c r="E206" s="256" t="str"/>
      <c r="F206" s="256" t="str"/>
      <c r="G206" s="256" t="str"/>
      <c r="H206" s="256" t="str"/>
      <c r="I206" s="256" t="str"/>
      <c r="J206" s="308" t="str"/>
      <c r="K206" s="256" t="str"/>
      <c r="L206" s="305" t="str"/>
      <c r="M206" s="305" t="str"/>
      <c r="N206" s="256" t="str"/>
      <c r="O206" s="256" t="str"/>
      <c r="P206" s="306" t="str"/>
    </row>
    <row r="207" ht="20" customHeight="1" s="48">
      <c r="A207" s="304" t="str"/>
      <c r="B207" s="256" t="str"/>
      <c r="C207" s="256" t="str"/>
      <c r="D207" s="256" t="str"/>
      <c r="E207" s="256" t="str"/>
      <c r="F207" s="256" t="str"/>
      <c r="G207" s="256" t="str"/>
      <c r="H207" s="256" t="str"/>
      <c r="I207" s="256" t="str"/>
      <c r="J207" s="308" t="str"/>
      <c r="K207" s="256" t="str"/>
      <c r="L207" s="305" t="str"/>
      <c r="M207" s="305" t="str"/>
      <c r="N207" s="256" t="str"/>
      <c r="O207" s="256" t="str"/>
      <c r="P207" s="306" t="str"/>
    </row>
    <row r="208" ht="20" customHeight="1" s="48">
      <c r="A208" s="304" t="str"/>
      <c r="B208" s="256" t="str"/>
      <c r="C208" s="256" t="str"/>
      <c r="D208" s="256" t="str"/>
      <c r="E208" s="256" t="str"/>
      <c r="F208" s="256" t="str"/>
      <c r="G208" s="256" t="str"/>
      <c r="H208" s="256" t="str"/>
      <c r="I208" s="256" t="str"/>
      <c r="J208" s="308" t="str"/>
      <c r="K208" s="256" t="str"/>
      <c r="L208" s="305" t="str"/>
      <c r="M208" s="305" t="str"/>
      <c r="N208" s="256" t="str"/>
      <c r="O208" s="256" t="str"/>
      <c r="P208" s="306" t="str"/>
    </row>
    <row r="209" ht="20" customHeight="1" s="48">
      <c r="A209" s="304" t="str"/>
      <c r="B209" s="256" t="str"/>
      <c r="C209" s="256" t="str"/>
      <c r="D209" s="256" t="str"/>
      <c r="E209" s="256" t="str"/>
      <c r="F209" s="256" t="str"/>
      <c r="G209" s="256" t="str"/>
      <c r="H209" s="256" t="str"/>
      <c r="I209" s="256" t="str"/>
      <c r="J209" s="308" t="str"/>
      <c r="K209" s="256" t="str"/>
      <c r="L209" s="305" t="str"/>
      <c r="M209" s="305" t="str"/>
      <c r="N209" s="256" t="str"/>
      <c r="O209" s="256" t="str"/>
      <c r="P209" s="306" t="str"/>
    </row>
    <row r="210" ht="20" customHeight="1" s="48">
      <c r="A210" s="304" t="str"/>
      <c r="B210" s="256" t="str"/>
      <c r="C210" s="256" t="str"/>
      <c r="D210" s="256" t="str"/>
      <c r="E210" s="256" t="str"/>
      <c r="F210" s="256" t="str"/>
      <c r="G210" s="256" t="str"/>
      <c r="H210" s="256" t="str"/>
      <c r="I210" s="256" t="str"/>
      <c r="J210" s="308" t="str"/>
      <c r="K210" s="256" t="str"/>
      <c r="L210" s="305" t="str"/>
      <c r="M210" s="305" t="str"/>
      <c r="N210" s="256" t="str"/>
      <c r="O210" s="256" t="str"/>
      <c r="P210" s="306" t="str"/>
    </row>
    <row r="211" ht="20" customHeight="1" s="48">
      <c r="A211" s="304" t="str"/>
      <c r="B211" s="256" t="str"/>
      <c r="C211" s="256" t="str"/>
      <c r="D211" s="256" t="str"/>
      <c r="E211" s="256" t="str"/>
      <c r="F211" s="256" t="str"/>
      <c r="G211" s="256" t="str"/>
      <c r="H211" s="256" t="str"/>
      <c r="I211" s="256" t="str"/>
      <c r="J211" s="308" t="str"/>
      <c r="K211" s="256" t="str"/>
      <c r="L211" s="305" t="str"/>
      <c r="M211" s="305" t="str"/>
      <c r="N211" s="256" t="str"/>
      <c r="O211" s="256" t="str"/>
      <c r="P211" s="306" t="str"/>
    </row>
    <row r="212" ht="20" customHeight="1" s="48">
      <c r="A212" s="304" t="str"/>
      <c r="B212" s="256" t="str"/>
      <c r="C212" s="256" t="str"/>
      <c r="D212" s="256" t="str"/>
      <c r="E212" s="256" t="str"/>
      <c r="F212" s="256" t="str"/>
      <c r="G212" s="256" t="str"/>
      <c r="H212" s="256" t="str"/>
      <c r="I212" s="256" t="str"/>
      <c r="J212" s="308" t="str"/>
      <c r="K212" s="256" t="str"/>
      <c r="L212" s="305" t="str"/>
      <c r="M212" s="305" t="str"/>
      <c r="N212" s="256" t="str"/>
      <c r="O212" s="256" t="str"/>
      <c r="P212" s="306" t="str"/>
    </row>
    <row r="213" ht="20" customHeight="1" s="48">
      <c r="A213" s="304" t="str"/>
      <c r="B213" s="256" t="str"/>
      <c r="C213" s="256" t="str"/>
      <c r="D213" s="256" t="str"/>
      <c r="E213" s="256" t="str"/>
      <c r="F213" s="256" t="str"/>
      <c r="G213" s="256" t="str"/>
      <c r="H213" s="256" t="str"/>
      <c r="I213" s="256" t="str"/>
      <c r="J213" s="308" t="str"/>
      <c r="K213" s="256" t="str"/>
      <c r="L213" s="305" t="str"/>
      <c r="M213" s="305" t="str"/>
      <c r="N213" s="256" t="str"/>
      <c r="O213" s="256" t="str"/>
      <c r="P213" s="306" t="str"/>
    </row>
    <row r="214" ht="20" customHeight="1" s="48">
      <c r="A214" s="304" t="str"/>
      <c r="B214" s="256" t="str"/>
      <c r="C214" s="256" t="str"/>
      <c r="D214" s="256" t="str"/>
      <c r="E214" s="256" t="str"/>
      <c r="F214" s="256" t="str"/>
      <c r="G214" s="256" t="str"/>
      <c r="H214" s="256" t="str"/>
      <c r="I214" s="256" t="str"/>
      <c r="J214" s="308" t="str"/>
      <c r="K214" s="256" t="str"/>
      <c r="L214" s="305" t="str"/>
      <c r="M214" s="305" t="str"/>
      <c r="N214" s="256" t="str"/>
      <c r="O214" s="256" t="str"/>
      <c r="P214" s="306" t="str"/>
    </row>
    <row r="215" ht="20" customHeight="1" s="48">
      <c r="A215" s="304" t="str"/>
      <c r="B215" s="256" t="str"/>
      <c r="C215" s="256" t="str"/>
      <c r="D215" s="256" t="str"/>
      <c r="E215" s="256" t="str"/>
      <c r="F215" s="256" t="str"/>
      <c r="G215" s="256" t="str"/>
      <c r="H215" s="256" t="str"/>
      <c r="I215" s="256" t="str"/>
      <c r="J215" s="308" t="str"/>
      <c r="K215" s="256" t="str"/>
      <c r="L215" s="305" t="str"/>
      <c r="M215" s="305" t="str"/>
      <c r="N215" s="256" t="str"/>
      <c r="O215" s="256" t="str"/>
      <c r="P215" s="306" t="str"/>
    </row>
    <row r="216" ht="20" customHeight="1" s="48">
      <c r="A216" s="304" t="str"/>
      <c r="B216" s="256" t="str"/>
      <c r="C216" s="256" t="str"/>
      <c r="D216" s="256" t="str"/>
      <c r="E216" s="256" t="str"/>
      <c r="F216" s="256" t="str"/>
      <c r="G216" s="256" t="str"/>
      <c r="H216" s="256" t="str"/>
      <c r="I216" s="256" t="str"/>
      <c r="J216" s="308" t="str"/>
      <c r="K216" s="256" t="str"/>
      <c r="L216" s="305" t="str"/>
      <c r="M216" s="305" t="str"/>
      <c r="N216" s="256" t="str"/>
      <c r="O216" s="256" t="str"/>
      <c r="P216" s="306" t="str"/>
    </row>
    <row r="217" ht="20" customHeight="1" s="48">
      <c r="A217" s="304" t="str"/>
      <c r="B217" s="256" t="str"/>
      <c r="C217" s="256" t="str"/>
      <c r="D217" s="256" t="str"/>
      <c r="E217" s="256" t="str"/>
      <c r="F217" s="256" t="str"/>
      <c r="G217" s="256" t="str"/>
      <c r="H217" s="256" t="str"/>
      <c r="I217" s="256" t="str"/>
      <c r="J217" s="308" t="str"/>
      <c r="K217" s="256" t="str"/>
      <c r="L217" s="305" t="str"/>
      <c r="M217" s="305" t="str"/>
      <c r="N217" s="256" t="str"/>
      <c r="O217" s="256" t="str"/>
      <c r="P217" s="306" t="str"/>
    </row>
    <row r="218" ht="20" customHeight="1" s="48">
      <c r="A218" s="304" t="str"/>
      <c r="B218" s="256" t="str"/>
      <c r="C218" s="256" t="str"/>
      <c r="D218" s="256" t="str"/>
      <c r="E218" s="256" t="str"/>
      <c r="F218" s="256" t="str"/>
      <c r="G218" s="256" t="str"/>
      <c r="H218" s="256" t="str"/>
      <c r="I218" s="256" t="str"/>
      <c r="J218" s="308" t="str"/>
      <c r="K218" s="256" t="str"/>
      <c r="L218" s="305" t="str"/>
      <c r="M218" s="305" t="str"/>
      <c r="N218" s="256" t="str"/>
      <c r="O218" s="256" t="str"/>
      <c r="P218" s="306" t="str"/>
    </row>
    <row r="219" ht="20" customHeight="1" s="48">
      <c r="A219" s="304" t="str"/>
      <c r="B219" s="256" t="str"/>
      <c r="C219" s="256" t="str"/>
      <c r="D219" s="256" t="str"/>
      <c r="E219" s="256" t="str"/>
      <c r="F219" s="256" t="str"/>
      <c r="G219" s="256" t="str"/>
      <c r="H219" s="256" t="str"/>
      <c r="I219" s="256" t="str"/>
      <c r="J219" s="308" t="str"/>
      <c r="K219" s="256" t="str"/>
      <c r="L219" s="305" t="str"/>
      <c r="M219" s="305" t="str"/>
      <c r="N219" s="256" t="str"/>
      <c r="O219" s="256" t="str"/>
      <c r="P219" s="306" t="str"/>
    </row>
    <row r="220" ht="20" customHeight="1" s="48">
      <c r="A220" s="304" t="str"/>
      <c r="B220" s="256" t="str"/>
      <c r="C220" s="256" t="str"/>
      <c r="D220" s="256" t="str"/>
      <c r="E220" s="256" t="str"/>
      <c r="F220" s="256" t="str"/>
      <c r="G220" s="256" t="str"/>
      <c r="H220" s="256" t="str"/>
      <c r="I220" s="256" t="str"/>
      <c r="J220" s="308" t="str"/>
      <c r="K220" s="256" t="str"/>
      <c r="L220" s="305" t="str"/>
      <c r="M220" s="305" t="str"/>
      <c r="N220" s="256" t="str"/>
      <c r="O220" s="256" t="str"/>
      <c r="P220" s="306" t="str"/>
    </row>
    <row r="221" ht="20" customHeight="1" s="48">
      <c r="A221" s="304" t="str"/>
      <c r="B221" s="256" t="str"/>
      <c r="C221" s="256" t="str"/>
      <c r="D221" s="256" t="str"/>
      <c r="E221" s="256" t="str"/>
      <c r="F221" s="256" t="str"/>
      <c r="G221" s="256" t="str"/>
      <c r="H221" s="256" t="str"/>
      <c r="I221" s="256" t="str"/>
      <c r="J221" s="308" t="str"/>
      <c r="K221" s="256" t="str"/>
      <c r="L221" s="305" t="str"/>
      <c r="M221" s="305" t="str"/>
      <c r="N221" s="256" t="str"/>
      <c r="O221" s="256" t="str"/>
      <c r="P221" s="306" t="str"/>
    </row>
    <row r="222" ht="20" customHeight="1" s="48">
      <c r="A222" s="304" t="str"/>
      <c r="B222" s="256" t="str"/>
      <c r="C222" s="256" t="str"/>
      <c r="D222" s="256" t="str"/>
      <c r="E222" s="256" t="str"/>
      <c r="F222" s="256" t="str"/>
      <c r="G222" s="256" t="str"/>
      <c r="H222" s="256" t="str"/>
      <c r="I222" s="256" t="str"/>
      <c r="J222" s="308" t="str"/>
      <c r="K222" s="256" t="str"/>
      <c r="L222" s="305" t="str"/>
      <c r="M222" s="305" t="str"/>
      <c r="N222" s="256" t="str"/>
      <c r="O222" s="256" t="str"/>
      <c r="P222" s="306" t="str"/>
    </row>
    <row r="223" ht="20" customHeight="1" s="48">
      <c r="A223" s="304" t="str"/>
      <c r="B223" s="256" t="str"/>
      <c r="C223" s="256" t="str"/>
      <c r="D223" s="256" t="str"/>
      <c r="E223" s="256" t="str"/>
      <c r="F223" s="256" t="str"/>
      <c r="G223" s="256" t="str"/>
      <c r="H223" s="256" t="str"/>
      <c r="I223" s="256" t="str"/>
      <c r="J223" s="308" t="str"/>
      <c r="K223" s="256" t="str"/>
      <c r="L223" s="305" t="str"/>
      <c r="M223" s="305" t="str"/>
      <c r="N223" s="256" t="str"/>
      <c r="O223" s="256" t="str"/>
      <c r="P223" s="306" t="str"/>
    </row>
    <row r="224" ht="20" customHeight="1" s="48">
      <c r="A224" s="304" t="str"/>
      <c r="B224" s="256" t="str"/>
      <c r="C224" s="256" t="str"/>
      <c r="D224" s="256" t="str"/>
      <c r="E224" s="256" t="str"/>
      <c r="F224" s="256" t="str"/>
      <c r="G224" s="256" t="str"/>
      <c r="H224" s="256" t="str"/>
      <c r="I224" s="256" t="str"/>
      <c r="J224" s="308" t="str"/>
      <c r="K224" s="256" t="str"/>
      <c r="L224" s="305" t="str"/>
      <c r="M224" s="305" t="str"/>
      <c r="N224" s="256" t="str"/>
      <c r="O224" s="256" t="str"/>
      <c r="P224" s="306" t="str"/>
    </row>
    <row r="225" ht="20" customHeight="1" s="48">
      <c r="A225" s="304" t="str"/>
      <c r="B225" s="256" t="str"/>
      <c r="C225" s="256" t="str"/>
      <c r="D225" s="256" t="str"/>
      <c r="E225" s="256" t="str"/>
      <c r="F225" s="256" t="str"/>
      <c r="G225" s="256" t="str"/>
      <c r="H225" s="256" t="str"/>
      <c r="I225" s="256" t="str"/>
      <c r="J225" s="308" t="str"/>
      <c r="K225" s="256" t="str"/>
      <c r="L225" s="305" t="str"/>
      <c r="M225" s="305" t="str"/>
      <c r="N225" s="256" t="str"/>
      <c r="O225" s="256" t="str"/>
      <c r="P225" s="306" t="str"/>
    </row>
    <row r="226" ht="20" customHeight="1" s="48">
      <c r="A226" s="304" t="str"/>
      <c r="B226" s="256" t="str"/>
      <c r="C226" s="256" t="str"/>
      <c r="D226" s="256" t="str"/>
      <c r="E226" s="256" t="str"/>
      <c r="F226" s="256" t="str"/>
      <c r="G226" s="256" t="str"/>
      <c r="H226" s="256" t="str"/>
      <c r="I226" s="256" t="str"/>
      <c r="J226" s="308" t="str"/>
      <c r="K226" s="256" t="str"/>
      <c r="L226" s="305" t="str"/>
      <c r="M226" s="305" t="str"/>
      <c r="N226" s="256" t="str"/>
      <c r="O226" s="256" t="str"/>
      <c r="P226" s="306" t="str"/>
    </row>
    <row r="227" ht="20" customHeight="1" s="48">
      <c r="A227" s="304" t="str"/>
      <c r="B227" s="256" t="str"/>
      <c r="C227" s="256" t="str"/>
      <c r="D227" s="256" t="str"/>
      <c r="E227" s="256" t="str"/>
      <c r="F227" s="256" t="str"/>
      <c r="G227" s="256" t="str"/>
      <c r="H227" s="256" t="str"/>
      <c r="I227" s="256" t="str"/>
      <c r="J227" s="308" t="str"/>
      <c r="K227" s="256" t="str"/>
      <c r="L227" s="305" t="str"/>
      <c r="M227" s="305" t="str"/>
      <c r="N227" s="256" t="str"/>
      <c r="O227" s="256" t="str"/>
      <c r="P227" s="306" t="str"/>
    </row>
    <row r="228" ht="20" customHeight="1" s="48">
      <c r="A228" s="304" t="str"/>
      <c r="B228" s="256" t="str"/>
      <c r="C228" s="256" t="str"/>
      <c r="D228" s="256" t="str"/>
      <c r="E228" s="256" t="str"/>
      <c r="F228" s="256" t="str"/>
      <c r="G228" s="256" t="str"/>
      <c r="H228" s="256" t="str"/>
      <c r="I228" s="256" t="str"/>
      <c r="J228" s="308" t="str"/>
      <c r="K228" s="256" t="str"/>
      <c r="L228" s="305" t="str"/>
      <c r="M228" s="305" t="str"/>
      <c r="N228" s="256" t="str"/>
      <c r="O228" s="256" t="str"/>
      <c r="P228" s="306" t="str"/>
    </row>
    <row r="229" ht="20" customHeight="1" s="48">
      <c r="A229" s="304" t="str"/>
      <c r="B229" s="256" t="str"/>
      <c r="C229" s="256" t="str"/>
      <c r="D229" s="256" t="str"/>
      <c r="E229" s="256" t="str"/>
      <c r="F229" s="256" t="str"/>
      <c r="G229" s="256" t="str"/>
      <c r="H229" s="256" t="str"/>
      <c r="I229" s="256" t="str"/>
      <c r="J229" s="308" t="str"/>
      <c r="K229" s="256" t="str"/>
      <c r="L229" s="305" t="str"/>
      <c r="M229" s="305" t="str"/>
      <c r="N229" s="256" t="str"/>
      <c r="O229" s="256" t="str"/>
      <c r="P229" s="306" t="str"/>
    </row>
    <row r="230" ht="20" customHeight="1" s="48">
      <c r="A230" s="304" t="str"/>
      <c r="B230" s="256" t="str"/>
      <c r="C230" s="256" t="str"/>
      <c r="D230" s="256" t="str"/>
      <c r="E230" s="256" t="str"/>
      <c r="F230" s="256" t="str"/>
      <c r="G230" s="256" t="str"/>
      <c r="H230" s="256" t="str"/>
      <c r="I230" s="256" t="str"/>
      <c r="J230" s="308" t="str"/>
      <c r="K230" s="256" t="str"/>
      <c r="L230" s="305" t="str"/>
      <c r="M230" s="305" t="str"/>
      <c r="N230" s="256" t="str"/>
      <c r="O230" s="256" t="str"/>
      <c r="P230" s="306" t="str"/>
    </row>
    <row r="231" ht="20" customHeight="1" s="48">
      <c r="A231" s="304" t="str"/>
      <c r="B231" s="256" t="str"/>
      <c r="C231" s="256" t="str"/>
      <c r="D231" s="256" t="str"/>
      <c r="E231" s="256" t="str"/>
      <c r="F231" s="256" t="str"/>
      <c r="G231" s="256" t="str"/>
      <c r="H231" s="256" t="str"/>
      <c r="I231" s="256" t="str"/>
      <c r="J231" s="308" t="str"/>
      <c r="K231" s="256" t="str"/>
      <c r="L231" s="305" t="str"/>
      <c r="M231" s="305" t="str"/>
      <c r="N231" s="256" t="str"/>
      <c r="O231" s="256" t="str"/>
      <c r="P231" s="306" t="str"/>
    </row>
    <row r="232" ht="20" customHeight="1" s="48">
      <c r="A232" s="304" t="str"/>
      <c r="B232" s="256" t="str"/>
      <c r="C232" s="256" t="str"/>
      <c r="D232" s="256" t="str"/>
      <c r="E232" s="256" t="str"/>
      <c r="F232" s="256" t="str"/>
      <c r="G232" s="256" t="str"/>
      <c r="H232" s="256" t="str"/>
      <c r="I232" s="256" t="str"/>
      <c r="J232" s="308" t="str"/>
      <c r="K232" s="256" t="str"/>
      <c r="L232" s="305" t="str"/>
      <c r="M232" s="305" t="str"/>
      <c r="N232" s="256" t="str"/>
      <c r="O232" s="256" t="str"/>
      <c r="P232" s="306" t="str"/>
    </row>
    <row r="233" ht="20" customHeight="1" s="48">
      <c r="A233" s="304" t="str"/>
      <c r="B233" s="256" t="str"/>
      <c r="C233" s="256" t="str"/>
      <c r="D233" s="256" t="str"/>
      <c r="E233" s="256" t="str"/>
      <c r="F233" s="256" t="str"/>
      <c r="G233" s="256" t="str"/>
      <c r="H233" s="256" t="str"/>
      <c r="I233" s="256" t="str"/>
      <c r="J233" s="308" t="str"/>
      <c r="K233" s="256" t="str"/>
      <c r="L233" s="305" t="str"/>
      <c r="M233" s="305" t="str"/>
      <c r="N233" s="256" t="str"/>
      <c r="O233" s="256" t="str"/>
      <c r="P233" s="306" t="str"/>
    </row>
    <row r="234" ht="20" customHeight="1" s="48">
      <c r="A234" s="304" t="str"/>
      <c r="B234" s="256" t="str"/>
      <c r="C234" s="256" t="str"/>
      <c r="D234" s="256" t="str"/>
      <c r="E234" s="256" t="str"/>
      <c r="F234" s="256" t="str"/>
      <c r="G234" s="256" t="str"/>
      <c r="H234" s="256" t="str"/>
      <c r="I234" s="256" t="str"/>
      <c r="J234" s="308" t="str"/>
      <c r="K234" s="256" t="str"/>
      <c r="L234" s="305" t="str"/>
      <c r="M234" s="305" t="str"/>
      <c r="N234" s="256" t="str"/>
      <c r="O234" s="256" t="str"/>
      <c r="P234" s="306" t="str"/>
    </row>
    <row r="235" ht="20" customHeight="1" s="48">
      <c r="A235" s="304" t="str"/>
      <c r="B235" s="256" t="str"/>
      <c r="C235" s="256" t="str"/>
      <c r="D235" s="256" t="str"/>
      <c r="E235" s="256" t="str"/>
      <c r="F235" s="256" t="str"/>
      <c r="G235" s="256" t="str"/>
      <c r="H235" s="256" t="str"/>
      <c r="I235" s="256" t="str"/>
      <c r="J235" s="308" t="str"/>
      <c r="K235" s="256" t="str"/>
      <c r="L235" s="305" t="str"/>
      <c r="M235" s="305" t="str"/>
      <c r="N235" s="256" t="str"/>
      <c r="O235" s="256" t="str"/>
      <c r="P235" s="306" t="str"/>
    </row>
    <row r="236" ht="20" customHeight="1" s="48">
      <c r="A236" s="304" t="str"/>
      <c r="B236" s="256" t="str"/>
      <c r="C236" s="256" t="str"/>
      <c r="D236" s="256" t="str"/>
      <c r="E236" s="256" t="str"/>
      <c r="F236" s="256" t="str"/>
      <c r="G236" s="256" t="str"/>
      <c r="H236" s="256" t="str"/>
      <c r="I236" s="256" t="str"/>
      <c r="J236" s="308" t="str"/>
      <c r="K236" s="256" t="str"/>
      <c r="L236" s="305" t="str"/>
      <c r="M236" s="305" t="str"/>
      <c r="N236" s="256" t="str"/>
      <c r="O236" s="256" t="str"/>
      <c r="P236" s="306" t="str"/>
    </row>
    <row r="237" ht="20" customHeight="1" s="48">
      <c r="A237" s="304" t="str"/>
      <c r="B237" s="256" t="str"/>
      <c r="C237" s="256" t="str"/>
      <c r="D237" s="256" t="str"/>
      <c r="E237" s="256" t="str"/>
      <c r="F237" s="256" t="str"/>
      <c r="G237" s="256" t="str"/>
      <c r="H237" s="256" t="str"/>
      <c r="I237" s="256" t="str"/>
      <c r="J237" s="308" t="str"/>
      <c r="K237" s="256" t="str"/>
      <c r="L237" s="305" t="str"/>
      <c r="M237" s="305" t="str"/>
      <c r="N237" s="256" t="str"/>
      <c r="O237" s="256" t="str"/>
      <c r="P237" s="306" t="str"/>
    </row>
    <row r="238" ht="20" customHeight="1" s="48">
      <c r="A238" s="304" t="str"/>
      <c r="B238" s="256" t="str"/>
      <c r="C238" s="256" t="str"/>
      <c r="D238" s="256" t="str"/>
      <c r="E238" s="256" t="str"/>
      <c r="F238" s="256" t="str"/>
      <c r="G238" s="256" t="str"/>
      <c r="H238" s="256" t="str"/>
      <c r="I238" s="256" t="str"/>
      <c r="J238" s="308" t="str"/>
      <c r="K238" s="256" t="str"/>
      <c r="L238" s="305" t="str"/>
      <c r="M238" s="305" t="str"/>
      <c r="N238" s="256" t="str"/>
      <c r="O238" s="256" t="str"/>
      <c r="P238" s="306" t="str"/>
    </row>
    <row r="239" ht="20" customHeight="1" s="48">
      <c r="A239" s="304" t="str"/>
      <c r="B239" s="256" t="str"/>
      <c r="C239" s="256" t="str"/>
      <c r="D239" s="256" t="str"/>
      <c r="E239" s="256" t="str"/>
      <c r="F239" s="256" t="str"/>
      <c r="G239" s="256" t="str"/>
      <c r="H239" s="256" t="str"/>
      <c r="I239" s="256" t="str"/>
      <c r="J239" s="308" t="str"/>
      <c r="K239" s="256" t="str"/>
      <c r="L239" s="305" t="str"/>
      <c r="M239" s="305" t="str"/>
      <c r="N239" s="256" t="str"/>
      <c r="O239" s="256" t="str"/>
      <c r="P239" s="306" t="str"/>
    </row>
    <row r="240" ht="20" customHeight="1" s="48">
      <c r="A240" s="304" t="str"/>
      <c r="B240" s="256" t="str"/>
      <c r="C240" s="256" t="str"/>
      <c r="D240" s="256" t="str"/>
      <c r="E240" s="256" t="str"/>
      <c r="F240" s="256" t="str"/>
      <c r="G240" s="256" t="str"/>
      <c r="H240" s="256" t="str"/>
      <c r="I240" s="256" t="str"/>
      <c r="J240" s="308" t="str"/>
      <c r="K240" s="256" t="str"/>
      <c r="L240" s="305" t="str"/>
      <c r="M240" s="305" t="str"/>
      <c r="N240" s="256" t="str"/>
      <c r="O240" s="256" t="str"/>
      <c r="P240" s="306" t="str"/>
    </row>
    <row r="241" ht="20" customHeight="1" s="48">
      <c r="A241" s="304" t="str"/>
      <c r="B241" s="256" t="str"/>
      <c r="C241" s="256" t="str"/>
      <c r="D241" s="256" t="str"/>
      <c r="E241" s="256" t="str"/>
      <c r="F241" s="256" t="str"/>
      <c r="G241" s="256" t="str"/>
      <c r="H241" s="256" t="str"/>
      <c r="I241" s="256" t="str"/>
      <c r="J241" s="308" t="str"/>
      <c r="K241" s="256" t="str"/>
      <c r="L241" s="305" t="str"/>
      <c r="M241" s="305" t="str"/>
      <c r="N241" s="256" t="str"/>
      <c r="O241" s="256" t="str"/>
      <c r="P241" s="306" t="str"/>
    </row>
    <row r="242" ht="20" customHeight="1" s="48">
      <c r="A242" s="304" t="str"/>
      <c r="B242" s="256" t="str"/>
      <c r="C242" s="256" t="str"/>
      <c r="D242" s="256" t="str"/>
      <c r="E242" s="256" t="str"/>
      <c r="F242" s="256" t="str"/>
      <c r="G242" s="256" t="str"/>
      <c r="H242" s="256" t="str"/>
      <c r="I242" s="256" t="str"/>
      <c r="J242" s="308" t="str"/>
      <c r="K242" s="256" t="str"/>
      <c r="L242" s="305" t="str"/>
      <c r="M242" s="305" t="str"/>
      <c r="N242" s="256" t="str"/>
      <c r="O242" s="256" t="str"/>
      <c r="P242" s="306" t="str"/>
    </row>
    <row r="243" ht="20" customHeight="1" s="48">
      <c r="A243" s="304" t="str"/>
      <c r="B243" s="256" t="str"/>
      <c r="C243" s="256" t="str"/>
      <c r="D243" s="256" t="str"/>
      <c r="E243" s="256" t="str"/>
      <c r="F243" s="256" t="str"/>
      <c r="G243" s="256" t="str"/>
      <c r="H243" s="256" t="str"/>
      <c r="I243" s="256" t="str"/>
      <c r="J243" s="308" t="str"/>
      <c r="K243" s="256" t="str"/>
      <c r="L243" s="305" t="str"/>
      <c r="M243" s="305" t="str"/>
      <c r="N243" s="256" t="str"/>
      <c r="O243" s="256" t="str"/>
      <c r="P243" s="306" t="str"/>
    </row>
    <row r="244" ht="20" customHeight="1" s="48">
      <c r="A244" s="304" t="str"/>
      <c r="B244" s="256" t="str"/>
      <c r="C244" s="256" t="str"/>
      <c r="D244" s="256" t="str"/>
      <c r="E244" s="256" t="str"/>
      <c r="F244" s="256" t="str"/>
      <c r="G244" s="256" t="str"/>
      <c r="H244" s="256" t="str"/>
      <c r="I244" s="256" t="str"/>
      <c r="J244" s="308" t="str"/>
      <c r="K244" s="256" t="str"/>
      <c r="L244" s="305" t="str"/>
      <c r="M244" s="305" t="str"/>
      <c r="N244" s="256" t="str"/>
      <c r="O244" s="256" t="str"/>
      <c r="P244" s="306" t="str"/>
    </row>
    <row r="245" ht="20" customHeight="1" s="48">
      <c r="A245" s="304" t="str"/>
      <c r="B245" s="256" t="str"/>
      <c r="C245" s="256" t="str"/>
      <c r="D245" s="256" t="str"/>
      <c r="E245" s="256" t="str"/>
      <c r="F245" s="256" t="str"/>
      <c r="G245" s="256" t="str"/>
      <c r="H245" s="256" t="str"/>
      <c r="I245" s="256" t="str"/>
      <c r="J245" s="308" t="str"/>
      <c r="K245" s="256" t="str"/>
      <c r="L245" s="305" t="str"/>
      <c r="M245" s="305" t="str"/>
      <c r="N245" s="256" t="str"/>
      <c r="O245" s="256" t="str"/>
      <c r="P245" s="306" t="str"/>
    </row>
    <row r="246" ht="20" customHeight="1" s="48">
      <c r="A246" s="304" t="str"/>
      <c r="B246" s="256" t="str"/>
      <c r="C246" s="256" t="str"/>
      <c r="D246" s="256" t="str"/>
      <c r="E246" s="256" t="str"/>
      <c r="F246" s="256" t="str"/>
      <c r="G246" s="256" t="str"/>
      <c r="H246" s="256" t="str"/>
      <c r="I246" s="256" t="str"/>
      <c r="J246" s="308" t="str"/>
      <c r="K246" s="256" t="str"/>
      <c r="L246" s="305" t="str"/>
      <c r="M246" s="305" t="str"/>
      <c r="N246" s="256" t="str"/>
      <c r="O246" s="256" t="str"/>
      <c r="P246" s="306" t="str"/>
    </row>
    <row r="247" ht="20" customHeight="1" s="48">
      <c r="A247" s="304" t="str"/>
      <c r="B247" s="256" t="str"/>
      <c r="C247" s="256" t="str"/>
      <c r="D247" s="256" t="str"/>
      <c r="E247" s="256" t="str"/>
      <c r="F247" s="256" t="str"/>
      <c r="G247" s="256" t="str"/>
      <c r="H247" s="256" t="str"/>
      <c r="I247" s="256" t="str"/>
      <c r="J247" s="308" t="str"/>
      <c r="K247" s="256" t="str"/>
      <c r="L247" s="305" t="str"/>
      <c r="M247" s="305" t="str"/>
      <c r="N247" s="256" t="str"/>
      <c r="O247" s="256" t="str"/>
      <c r="P247" s="306" t="str"/>
    </row>
    <row r="248" ht="20" customHeight="1" s="48">
      <c r="A248" s="304" t="str"/>
      <c r="B248" s="256" t="str"/>
      <c r="C248" s="256" t="str"/>
      <c r="D248" s="256" t="str"/>
      <c r="E248" s="256" t="str"/>
      <c r="F248" s="256" t="str"/>
      <c r="G248" s="256" t="str"/>
      <c r="H248" s="256" t="str"/>
      <c r="I248" s="256" t="str"/>
      <c r="J248" s="308" t="str"/>
      <c r="K248" s="256" t="str"/>
      <c r="L248" s="305" t="str"/>
      <c r="M248" s="305" t="str"/>
      <c r="N248" s="256" t="str"/>
      <c r="O248" s="256" t="str"/>
      <c r="P248" s="306" t="str"/>
    </row>
    <row r="249" ht="20" customHeight="1" s="48">
      <c r="A249" s="304" t="str"/>
      <c r="B249" s="256" t="str"/>
      <c r="C249" s="256" t="str"/>
      <c r="D249" s="256" t="str"/>
      <c r="E249" s="256" t="str"/>
      <c r="F249" s="256" t="str"/>
      <c r="G249" s="256" t="str"/>
      <c r="H249" s="256" t="str"/>
      <c r="I249" s="256" t="str"/>
      <c r="J249" s="308" t="str"/>
      <c r="K249" s="256" t="str"/>
      <c r="L249" s="305" t="str"/>
      <c r="M249" s="305" t="str"/>
      <c r="N249" s="256" t="str"/>
      <c r="O249" s="256" t="str"/>
      <c r="P249" s="306" t="str"/>
    </row>
    <row r="250" ht="20" customHeight="1" s="48">
      <c r="A250" s="304" t="str"/>
      <c r="B250" s="256" t="str"/>
      <c r="C250" s="256" t="str"/>
      <c r="D250" s="256" t="str"/>
      <c r="E250" s="256" t="str"/>
      <c r="F250" s="256" t="str"/>
      <c r="G250" s="256" t="str"/>
      <c r="H250" s="256" t="str"/>
      <c r="I250" s="256" t="str"/>
      <c r="J250" s="308" t="str"/>
      <c r="K250" s="256" t="str"/>
      <c r="L250" s="305" t="str"/>
      <c r="M250" s="305" t="str"/>
      <c r="N250" s="256" t="str"/>
      <c r="O250" s="256" t="str"/>
      <c r="P250" s="306" t="str"/>
    </row>
    <row r="251" ht="20" customHeight="1" s="48">
      <c r="A251" s="304" t="str"/>
      <c r="B251" s="256" t="str"/>
      <c r="C251" s="256" t="str"/>
      <c r="D251" s="256" t="str"/>
      <c r="E251" s="256" t="str"/>
      <c r="F251" s="256" t="str"/>
      <c r="G251" s="256" t="str"/>
      <c r="H251" s="256" t="str"/>
      <c r="I251" s="256" t="str"/>
      <c r="J251" s="308" t="str"/>
      <c r="K251" s="256" t="str"/>
      <c r="L251" s="305" t="str"/>
      <c r="M251" s="305" t="str"/>
      <c r="N251" s="256" t="str"/>
      <c r="O251" s="256" t="str"/>
      <c r="P251" s="306" t="str"/>
    </row>
    <row r="252" ht="20" customHeight="1" s="48">
      <c r="A252" s="304" t="str"/>
      <c r="B252" s="256" t="str"/>
      <c r="C252" s="256" t="str"/>
      <c r="D252" s="256" t="str"/>
      <c r="E252" s="256" t="str"/>
      <c r="F252" s="256" t="str"/>
      <c r="G252" s="256" t="str"/>
      <c r="H252" s="256" t="str"/>
      <c r="I252" s="256" t="str"/>
      <c r="J252" s="308" t="str"/>
      <c r="K252" s="256" t="str"/>
      <c r="L252" s="305" t="str"/>
      <c r="M252" s="305" t="str"/>
      <c r="N252" s="256" t="str"/>
      <c r="O252" s="256" t="str"/>
      <c r="P252" s="306" t="str"/>
    </row>
    <row r="253" ht="20" customHeight="1" s="48">
      <c r="A253" s="304" t="str"/>
      <c r="B253" s="256" t="str"/>
      <c r="C253" s="256" t="str"/>
      <c r="D253" s="256" t="str"/>
      <c r="E253" s="256" t="str"/>
      <c r="F253" s="256" t="str"/>
      <c r="G253" s="256" t="str"/>
      <c r="H253" s="256" t="str"/>
      <c r="I253" s="256" t="str"/>
      <c r="J253" s="308" t="str"/>
      <c r="K253" s="256" t="str"/>
      <c r="L253" s="305" t="str"/>
      <c r="M253" s="305" t="str"/>
      <c r="N253" s="256" t="str"/>
      <c r="O253" s="256" t="str"/>
      <c r="P253" s="306" t="str"/>
    </row>
    <row r="254" ht="20" customHeight="1" s="48">
      <c r="A254" s="304" t="str"/>
      <c r="B254" s="256" t="str"/>
      <c r="C254" s="256" t="str"/>
      <c r="D254" s="256" t="str"/>
      <c r="E254" s="256" t="str"/>
      <c r="F254" s="256" t="str"/>
      <c r="G254" s="256" t="str"/>
      <c r="H254" s="256" t="str"/>
      <c r="I254" s="256" t="str"/>
      <c r="J254" s="308" t="str"/>
      <c r="K254" s="256" t="str"/>
      <c r="L254" s="305" t="str"/>
      <c r="M254" s="305" t="str"/>
      <c r="N254" s="256" t="str"/>
      <c r="O254" s="256" t="str"/>
      <c r="P254" s="306" t="str"/>
    </row>
    <row r="255" ht="20" customHeight="1" s="48">
      <c r="A255" s="304" t="str"/>
      <c r="B255" s="256" t="str"/>
      <c r="C255" s="256" t="str"/>
      <c r="D255" s="256" t="str"/>
      <c r="E255" s="256" t="str"/>
      <c r="F255" s="256" t="str"/>
      <c r="G255" s="256" t="str"/>
      <c r="H255" s="256" t="str"/>
      <c r="I255" s="256" t="str"/>
      <c r="J255" s="308" t="str"/>
      <c r="K255" s="256" t="str"/>
      <c r="L255" s="305" t="str"/>
      <c r="M255" s="305" t="str"/>
      <c r="N255" s="256" t="str"/>
      <c r="O255" s="256" t="str"/>
      <c r="P255" s="306" t="str"/>
    </row>
    <row r="256" ht="20" customHeight="1" s="48">
      <c r="A256" s="304" t="str"/>
      <c r="B256" s="256" t="str"/>
      <c r="C256" s="256" t="str"/>
      <c r="D256" s="256" t="str"/>
      <c r="E256" s="256" t="str"/>
      <c r="F256" s="256" t="str"/>
      <c r="G256" s="256" t="str"/>
      <c r="H256" s="256" t="str"/>
      <c r="I256" s="256" t="str"/>
      <c r="J256" s="308" t="str"/>
      <c r="K256" s="256" t="str"/>
      <c r="L256" s="305" t="str"/>
      <c r="M256" s="305" t="str"/>
      <c r="N256" s="256" t="str"/>
      <c r="O256" s="256" t="str"/>
      <c r="P256" s="306" t="str"/>
    </row>
    <row r="257" ht="20" customHeight="1" s="48">
      <c r="A257" s="304" t="str"/>
      <c r="B257" s="256" t="str"/>
      <c r="C257" s="256" t="str"/>
      <c r="D257" s="256" t="str"/>
      <c r="E257" s="256" t="str"/>
      <c r="F257" s="256" t="str"/>
      <c r="G257" s="256" t="str"/>
      <c r="H257" s="256" t="str"/>
      <c r="I257" s="256" t="str"/>
      <c r="J257" s="308" t="str"/>
      <c r="K257" s="256" t="str"/>
      <c r="L257" s="305" t="str"/>
      <c r="M257" s="305" t="str"/>
      <c r="N257" s="256" t="str"/>
      <c r="O257" s="256" t="str"/>
      <c r="P257" s="306" t="str"/>
    </row>
    <row r="258" ht="20" customHeight="1" s="48">
      <c r="A258" s="304" t="str"/>
      <c r="B258" s="256" t="str"/>
      <c r="C258" s="256" t="str"/>
      <c r="D258" s="256" t="str"/>
      <c r="E258" s="256" t="str"/>
      <c r="F258" s="256" t="str"/>
      <c r="G258" s="256" t="str"/>
      <c r="H258" s="256" t="str"/>
      <c r="I258" s="256" t="str"/>
      <c r="J258" s="308" t="str"/>
      <c r="K258" s="256" t="str"/>
      <c r="L258" s="305" t="str"/>
      <c r="M258" s="305" t="str"/>
      <c r="N258" s="256" t="str"/>
      <c r="O258" s="256" t="str"/>
      <c r="P258" s="306" t="str"/>
    </row>
    <row r="259" ht="20" customHeight="1" s="48">
      <c r="A259" s="304" t="str"/>
      <c r="B259" s="256" t="str"/>
      <c r="C259" s="256" t="str"/>
      <c r="D259" s="256" t="str"/>
      <c r="E259" s="256" t="str"/>
      <c r="F259" s="256" t="str"/>
      <c r="G259" s="256" t="str"/>
      <c r="H259" s="256" t="str"/>
      <c r="I259" s="256" t="str"/>
      <c r="J259" s="308" t="str"/>
      <c r="K259" s="256" t="str"/>
      <c r="L259" s="305" t="str"/>
      <c r="M259" s="305" t="str"/>
      <c r="N259" s="256" t="str"/>
      <c r="O259" s="256" t="str"/>
      <c r="P259" s="306" t="str"/>
    </row>
    <row r="260" ht="20" customHeight="1" s="48">
      <c r="A260" s="304" t="str"/>
      <c r="B260" s="256" t="str"/>
      <c r="C260" s="256" t="str"/>
      <c r="D260" s="256" t="str"/>
      <c r="E260" s="256" t="str"/>
      <c r="F260" s="256" t="str"/>
      <c r="G260" s="256" t="str"/>
      <c r="H260" s="256" t="str"/>
      <c r="I260" s="256" t="str"/>
      <c r="J260" s="308" t="str"/>
      <c r="K260" s="256" t="str"/>
      <c r="L260" s="305" t="str"/>
      <c r="M260" s="305" t="str"/>
      <c r="N260" s="256" t="str"/>
      <c r="O260" s="256" t="str"/>
      <c r="P260" s="306" t="str"/>
    </row>
    <row r="261" ht="20" customHeight="1" s="48">
      <c r="A261" s="304" t="str"/>
      <c r="B261" s="256" t="str"/>
      <c r="C261" s="256" t="str"/>
      <c r="D261" s="256" t="str"/>
      <c r="E261" s="256" t="str"/>
      <c r="F261" s="256" t="str"/>
      <c r="G261" s="256" t="str"/>
      <c r="H261" s="256" t="str"/>
      <c r="I261" s="256" t="str"/>
      <c r="J261" s="308" t="str"/>
      <c r="K261" s="256" t="str"/>
      <c r="L261" s="305" t="str"/>
      <c r="M261" s="305" t="str"/>
      <c r="N261" s="256" t="str"/>
      <c r="O261" s="256" t="str"/>
      <c r="P261" s="306" t="str"/>
    </row>
    <row r="262" ht="20" customHeight="1" s="48">
      <c r="A262" s="304" t="str"/>
      <c r="B262" s="256" t="str"/>
      <c r="C262" s="256" t="str"/>
      <c r="D262" s="256" t="str"/>
      <c r="E262" s="256" t="str"/>
      <c r="F262" s="256" t="str"/>
      <c r="G262" s="256" t="str"/>
      <c r="H262" s="256" t="str"/>
      <c r="I262" s="256" t="str"/>
      <c r="J262" s="308" t="str"/>
      <c r="K262" s="256" t="str"/>
      <c r="L262" s="305" t="str"/>
      <c r="M262" s="305" t="str"/>
      <c r="N262" s="256" t="str"/>
      <c r="O262" s="256" t="str"/>
      <c r="P262" s="306" t="str"/>
    </row>
    <row r="263" ht="20" customHeight="1" s="48">
      <c r="A263" s="304" t="str"/>
      <c r="B263" s="256" t="str"/>
      <c r="C263" s="256" t="str"/>
      <c r="D263" s="256" t="str"/>
      <c r="E263" s="256" t="str"/>
      <c r="F263" s="256" t="str"/>
      <c r="G263" s="256" t="str"/>
      <c r="H263" s="256" t="str"/>
      <c r="I263" s="256" t="str"/>
      <c r="J263" s="308" t="str"/>
      <c r="K263" s="256" t="str"/>
      <c r="L263" s="305" t="str"/>
      <c r="M263" s="305" t="str"/>
      <c r="N263" s="256" t="str"/>
      <c r="O263" s="256" t="str"/>
      <c r="P263" s="306" t="str"/>
    </row>
    <row r="264" ht="20" customHeight="1" s="48">
      <c r="A264" s="304" t="str"/>
      <c r="B264" s="256" t="str"/>
      <c r="C264" s="256" t="str"/>
      <c r="D264" s="256" t="str"/>
      <c r="E264" s="256" t="str"/>
      <c r="F264" s="256" t="str"/>
      <c r="G264" s="256" t="str"/>
      <c r="H264" s="256" t="str"/>
      <c r="I264" s="256" t="str"/>
      <c r="J264" s="308" t="str"/>
      <c r="K264" s="256" t="str"/>
      <c r="L264" s="305" t="str"/>
      <c r="M264" s="305" t="str"/>
      <c r="N264" s="256" t="str"/>
      <c r="O264" s="256" t="str"/>
      <c r="P264" s="306" t="str"/>
    </row>
    <row r="265" ht="20" customHeight="1" s="48">
      <c r="A265" s="304" t="str"/>
      <c r="B265" s="256" t="str"/>
      <c r="C265" s="256" t="str"/>
      <c r="D265" s="256" t="str"/>
      <c r="E265" s="256" t="str"/>
      <c r="F265" s="256" t="str"/>
      <c r="G265" s="256" t="str"/>
      <c r="H265" s="256" t="str"/>
      <c r="I265" s="256" t="str"/>
      <c r="J265" s="308" t="str"/>
      <c r="K265" s="256" t="str"/>
      <c r="L265" s="305" t="str"/>
      <c r="M265" s="305" t="str"/>
      <c r="N265" s="256" t="str"/>
      <c r="O265" s="256" t="str"/>
      <c r="P265" s="306" t="str"/>
    </row>
    <row r="266" ht="20" customHeight="1" s="48">
      <c r="A266" s="304" t="str"/>
      <c r="B266" s="256" t="str"/>
      <c r="C266" s="256" t="str"/>
      <c r="D266" s="256" t="str"/>
      <c r="E266" s="256" t="str"/>
      <c r="F266" s="256" t="str"/>
      <c r="G266" s="256" t="str"/>
      <c r="H266" s="256" t="str"/>
      <c r="I266" s="256" t="str"/>
      <c r="J266" s="308" t="str"/>
      <c r="K266" s="256" t="str"/>
      <c r="L266" s="305" t="str"/>
      <c r="M266" s="305" t="str"/>
      <c r="N266" s="256" t="str"/>
      <c r="O266" s="256" t="str"/>
      <c r="P266" s="306" t="str"/>
    </row>
    <row r="267" ht="20" customHeight="1" s="48">
      <c r="A267" s="304" t="str"/>
      <c r="B267" s="256" t="str"/>
      <c r="C267" s="256" t="str"/>
      <c r="D267" s="256" t="str"/>
      <c r="E267" s="256" t="str"/>
      <c r="F267" s="256" t="str"/>
      <c r="G267" s="256" t="str"/>
      <c r="H267" s="256" t="str"/>
      <c r="I267" s="256" t="str"/>
      <c r="J267" s="308" t="str"/>
      <c r="K267" s="256" t="str"/>
      <c r="L267" s="305" t="str"/>
      <c r="M267" s="305" t="str"/>
      <c r="N267" s="256" t="str"/>
      <c r="O267" s="256" t="str"/>
      <c r="P267" s="306" t="str"/>
    </row>
    <row r="268" ht="20" customHeight="1" s="48">
      <c r="A268" s="304" t="str"/>
      <c r="B268" s="256" t="str"/>
      <c r="C268" s="256" t="str"/>
      <c r="D268" s="256" t="str"/>
      <c r="E268" s="256" t="str"/>
      <c r="F268" s="256" t="str"/>
      <c r="G268" s="256" t="str"/>
      <c r="H268" s="256" t="str"/>
      <c r="I268" s="256" t="str"/>
      <c r="J268" s="308" t="str"/>
      <c r="K268" s="256" t="str"/>
      <c r="L268" s="305" t="str"/>
      <c r="M268" s="305" t="str"/>
      <c r="N268" s="256" t="str"/>
      <c r="O268" s="256" t="str"/>
      <c r="P268" s="306" t="str"/>
    </row>
    <row r="269" ht="20" customHeight="1" s="48">
      <c r="A269" s="304" t="str"/>
      <c r="B269" s="256" t="str"/>
      <c r="C269" s="256" t="str"/>
      <c r="D269" s="256" t="str"/>
      <c r="E269" s="256" t="str"/>
      <c r="F269" s="256" t="str"/>
      <c r="G269" s="256" t="str"/>
      <c r="H269" s="256" t="str"/>
      <c r="I269" s="256" t="str"/>
      <c r="J269" s="308" t="str"/>
      <c r="K269" s="256" t="str"/>
      <c r="L269" s="305" t="str"/>
      <c r="M269" s="305" t="str"/>
      <c r="N269" s="256" t="str"/>
      <c r="O269" s="256" t="str"/>
      <c r="P269" s="306" t="str"/>
    </row>
    <row r="270" ht="20" customHeight="1" s="48">
      <c r="A270" s="304" t="str"/>
      <c r="B270" s="256" t="str"/>
      <c r="C270" s="256" t="str"/>
      <c r="D270" s="256" t="str"/>
      <c r="E270" s="256" t="str"/>
      <c r="F270" s="256" t="str"/>
      <c r="G270" s="256" t="str"/>
      <c r="H270" s="256" t="str"/>
      <c r="I270" s="256" t="str"/>
      <c r="J270" s="308" t="str"/>
      <c r="K270" s="256" t="str"/>
      <c r="L270" s="305" t="str"/>
      <c r="M270" s="305" t="str"/>
      <c r="N270" s="256" t="str"/>
      <c r="O270" s="256" t="str"/>
      <c r="P270" s="306" t="str"/>
    </row>
    <row r="271" ht="20" customHeight="1" s="48">
      <c r="A271" s="304" t="str"/>
      <c r="B271" s="256" t="str"/>
      <c r="C271" s="256" t="str"/>
      <c r="D271" s="256" t="str"/>
      <c r="E271" s="256" t="str"/>
      <c r="F271" s="256" t="str"/>
      <c r="G271" s="256" t="str"/>
      <c r="H271" s="256" t="str"/>
      <c r="I271" s="256" t="str"/>
      <c r="J271" s="308" t="str"/>
      <c r="K271" s="256" t="str"/>
      <c r="L271" s="305" t="str"/>
      <c r="M271" s="305" t="str"/>
      <c r="N271" s="256" t="str"/>
      <c r="O271" s="256" t="str"/>
      <c r="P271" s="306" t="str"/>
    </row>
    <row r="272" ht="20" customHeight="1" s="48">
      <c r="A272" s="304" t="str"/>
      <c r="B272" s="256" t="str"/>
      <c r="C272" s="256" t="str"/>
      <c r="D272" s="256" t="str"/>
      <c r="E272" s="256" t="str"/>
      <c r="F272" s="256" t="str"/>
      <c r="G272" s="256" t="str"/>
      <c r="H272" s="256" t="str"/>
      <c r="I272" s="256" t="str"/>
      <c r="J272" s="308" t="str"/>
      <c r="K272" s="256" t="str"/>
      <c r="L272" s="305" t="str"/>
      <c r="M272" s="305" t="str"/>
      <c r="N272" s="256" t="str"/>
      <c r="O272" s="256" t="str"/>
      <c r="P272" s="306" t="str"/>
    </row>
    <row r="273" ht="20" customHeight="1" s="48">
      <c r="A273" s="304" t="str"/>
      <c r="B273" s="256" t="str"/>
      <c r="C273" s="256" t="str"/>
      <c r="D273" s="256" t="str"/>
      <c r="E273" s="256" t="str"/>
      <c r="F273" s="256" t="str"/>
      <c r="G273" s="256" t="str"/>
      <c r="H273" s="256" t="str"/>
      <c r="I273" s="256" t="str"/>
      <c r="J273" s="308" t="str"/>
      <c r="K273" s="256" t="str"/>
      <c r="L273" s="305" t="str"/>
      <c r="M273" s="305" t="str"/>
      <c r="N273" s="256" t="str"/>
      <c r="O273" s="256" t="str"/>
      <c r="P273" s="306" t="str"/>
    </row>
    <row r="274" ht="20" customHeight="1" s="48">
      <c r="A274" s="304" t="str"/>
      <c r="B274" s="256" t="str"/>
      <c r="C274" s="256" t="str"/>
      <c r="D274" s="256" t="str"/>
      <c r="E274" s="256" t="str"/>
      <c r="F274" s="256" t="str"/>
      <c r="G274" s="256" t="str"/>
      <c r="H274" s="256" t="str"/>
      <c r="I274" s="256" t="str"/>
      <c r="J274" s="308" t="str"/>
      <c r="K274" s="256" t="str"/>
      <c r="L274" s="305" t="str"/>
      <c r="M274" s="305" t="str"/>
      <c r="N274" s="256" t="str"/>
      <c r="O274" s="256" t="str"/>
      <c r="P274" s="306" t="str"/>
    </row>
    <row r="275" ht="20" customHeight="1" s="48">
      <c r="A275" s="304" t="str"/>
      <c r="B275" s="256" t="str"/>
      <c r="C275" s="256" t="str"/>
      <c r="D275" s="256" t="str"/>
      <c r="E275" s="256" t="str"/>
      <c r="F275" s="256" t="str"/>
      <c r="G275" s="256" t="str"/>
      <c r="H275" s="256" t="str"/>
      <c r="I275" s="256" t="str"/>
      <c r="J275" s="308" t="str"/>
      <c r="K275" s="256" t="str"/>
      <c r="L275" s="305" t="str"/>
      <c r="M275" s="305" t="str"/>
      <c r="N275" s="256" t="str"/>
      <c r="O275" s="256" t="str"/>
      <c r="P275" s="306" t="str"/>
    </row>
    <row r="276" ht="20" customHeight="1" s="48">
      <c r="A276" s="304" t="str"/>
      <c r="B276" s="256" t="str"/>
      <c r="C276" s="256" t="str"/>
      <c r="D276" s="256" t="str"/>
      <c r="E276" s="256" t="str"/>
      <c r="F276" s="256" t="str"/>
      <c r="G276" s="256" t="str"/>
      <c r="H276" s="256" t="str"/>
      <c r="I276" s="256" t="str"/>
      <c r="J276" s="308" t="str"/>
      <c r="K276" s="256" t="str"/>
      <c r="L276" s="305" t="str"/>
      <c r="M276" s="305" t="str"/>
      <c r="N276" s="256" t="str"/>
      <c r="O276" s="256" t="str"/>
      <c r="P276" s="306" t="str"/>
    </row>
    <row r="277" ht="20" customHeight="1" s="48">
      <c r="A277" s="304" t="str"/>
      <c r="B277" s="256" t="str"/>
      <c r="C277" s="256" t="str"/>
      <c r="D277" s="256" t="str"/>
      <c r="E277" s="256" t="str"/>
      <c r="F277" s="256" t="str"/>
      <c r="G277" s="256" t="str"/>
      <c r="H277" s="256" t="str"/>
      <c r="I277" s="256" t="str"/>
      <c r="J277" s="308" t="str"/>
      <c r="K277" s="256" t="str"/>
      <c r="L277" s="305" t="str"/>
      <c r="M277" s="305" t="str"/>
      <c r="N277" s="256" t="str"/>
      <c r="O277" s="256" t="str"/>
      <c r="P277" s="306" t="str"/>
    </row>
    <row r="278" ht="20" customHeight="1" s="48">
      <c r="A278" s="304" t="str"/>
      <c r="B278" s="256" t="str"/>
      <c r="C278" s="256" t="str"/>
      <c r="D278" s="256" t="str"/>
      <c r="E278" s="256" t="str"/>
      <c r="F278" s="256" t="str"/>
      <c r="G278" s="256" t="str"/>
      <c r="H278" s="256" t="str"/>
      <c r="I278" s="256" t="str"/>
      <c r="J278" s="308" t="str"/>
      <c r="K278" s="256" t="str"/>
      <c r="L278" s="305" t="str"/>
      <c r="M278" s="305" t="str"/>
      <c r="N278" s="256" t="str"/>
      <c r="O278" s="256" t="str"/>
      <c r="P278" s="306" t="str"/>
    </row>
    <row r="279" ht="20" customHeight="1" s="48">
      <c r="A279" s="304" t="str"/>
      <c r="B279" s="256" t="str"/>
      <c r="C279" s="256" t="str"/>
      <c r="D279" s="256" t="str"/>
      <c r="E279" s="256" t="str"/>
      <c r="F279" s="256" t="str"/>
      <c r="G279" s="256" t="str"/>
      <c r="H279" s="256" t="str"/>
      <c r="I279" s="256" t="str"/>
      <c r="J279" s="308" t="str"/>
      <c r="K279" s="256" t="str"/>
      <c r="L279" s="305" t="str"/>
      <c r="M279" s="305" t="str"/>
      <c r="N279" s="256" t="str"/>
      <c r="O279" s="256" t="str"/>
      <c r="P279" s="306" t="str"/>
    </row>
    <row r="280" ht="20" customHeight="1" s="48">
      <c r="A280" s="304" t="str"/>
      <c r="B280" s="256" t="str"/>
      <c r="C280" s="256" t="str"/>
      <c r="D280" s="256" t="str"/>
      <c r="E280" s="256" t="str"/>
      <c r="F280" s="256" t="str"/>
      <c r="G280" s="256" t="str"/>
      <c r="H280" s="256" t="str"/>
      <c r="I280" s="256" t="str"/>
      <c r="J280" s="308" t="str"/>
      <c r="K280" s="256" t="str"/>
      <c r="L280" s="305" t="str"/>
      <c r="M280" s="305" t="str"/>
      <c r="N280" s="256" t="str"/>
      <c r="O280" s="256" t="str"/>
      <c r="P280" s="306" t="str"/>
    </row>
    <row r="281" ht="20" customHeight="1" s="48">
      <c r="A281" s="304" t="str"/>
      <c r="B281" s="256" t="str"/>
      <c r="C281" s="256" t="str"/>
      <c r="D281" s="256" t="str"/>
      <c r="E281" s="256" t="str"/>
      <c r="F281" s="256" t="str"/>
      <c r="G281" s="256" t="str"/>
      <c r="H281" s="256" t="str"/>
      <c r="I281" s="256" t="str"/>
      <c r="J281" s="308" t="str"/>
      <c r="K281" s="256" t="str"/>
      <c r="L281" s="305" t="str"/>
      <c r="M281" s="305" t="str"/>
      <c r="N281" s="256" t="str"/>
      <c r="O281" s="256" t="str"/>
      <c r="P281" s="306" t="str"/>
    </row>
    <row r="282" ht="20" customHeight="1" s="48">
      <c r="A282" s="304" t="str"/>
      <c r="B282" s="256" t="str"/>
      <c r="C282" s="256" t="str"/>
      <c r="D282" s="256" t="str"/>
      <c r="E282" s="256" t="str"/>
      <c r="F282" s="256" t="str"/>
      <c r="G282" s="256" t="str"/>
      <c r="H282" s="256" t="str"/>
      <c r="I282" s="256" t="str"/>
      <c r="J282" s="308" t="str"/>
      <c r="K282" s="256" t="str"/>
      <c r="L282" s="305" t="str"/>
      <c r="M282" s="305" t="str"/>
      <c r="N282" s="256" t="str"/>
      <c r="O282" s="256" t="str"/>
      <c r="P282" s="306" t="str"/>
    </row>
    <row r="283" ht="20" customHeight="1" s="48">
      <c r="A283" s="304" t="str"/>
      <c r="B283" s="256" t="str"/>
      <c r="C283" s="256" t="str"/>
      <c r="D283" s="256" t="str"/>
      <c r="E283" s="256" t="str"/>
      <c r="F283" s="256" t="str"/>
      <c r="G283" s="256" t="str"/>
      <c r="H283" s="256" t="str"/>
      <c r="I283" s="256" t="str"/>
      <c r="J283" s="308" t="str"/>
      <c r="K283" s="256" t="str"/>
      <c r="L283" s="305" t="str"/>
      <c r="M283" s="305" t="str"/>
      <c r="N283" s="256" t="str"/>
      <c r="O283" s="256" t="str"/>
      <c r="P283" s="306" t="str"/>
    </row>
    <row r="284" ht="20" customHeight="1" s="48">
      <c r="A284" s="304" t="str"/>
      <c r="B284" s="256" t="str"/>
      <c r="C284" s="256" t="str"/>
      <c r="D284" s="256" t="str"/>
      <c r="E284" s="256" t="str"/>
      <c r="F284" s="256" t="str"/>
      <c r="G284" s="256" t="str"/>
      <c r="H284" s="256" t="str"/>
      <c r="I284" s="256" t="str"/>
      <c r="J284" s="308" t="str"/>
      <c r="K284" s="256" t="str"/>
      <c r="L284" s="305" t="str"/>
      <c r="M284" s="305" t="str"/>
      <c r="N284" s="256" t="str"/>
      <c r="O284" s="256" t="str"/>
      <c r="P284" s="306" t="str"/>
    </row>
    <row r="285" ht="20" customHeight="1" s="48">
      <c r="A285" s="304" t="str"/>
      <c r="B285" s="256" t="str"/>
      <c r="C285" s="256" t="str"/>
      <c r="D285" s="256" t="str"/>
      <c r="E285" s="256" t="str"/>
      <c r="F285" s="256" t="str"/>
      <c r="G285" s="256" t="str"/>
      <c r="H285" s="256" t="str"/>
      <c r="I285" s="256" t="str"/>
      <c r="J285" s="308" t="str"/>
      <c r="K285" s="256" t="str"/>
      <c r="L285" s="305" t="str"/>
      <c r="M285" s="305" t="str"/>
      <c r="N285" s="256" t="str"/>
      <c r="O285" s="256" t="str"/>
      <c r="P285" s="306" t="str"/>
    </row>
    <row r="286" ht="20" customHeight="1" s="48">
      <c r="A286" s="304" t="str"/>
      <c r="B286" s="256" t="str"/>
      <c r="C286" s="256" t="str"/>
      <c r="D286" s="256" t="str"/>
      <c r="E286" s="256" t="str"/>
      <c r="F286" s="256" t="str"/>
      <c r="G286" s="256" t="str"/>
      <c r="H286" s="256" t="str"/>
      <c r="I286" s="256" t="str"/>
      <c r="J286" s="308" t="str"/>
      <c r="K286" s="256" t="str"/>
      <c r="L286" s="305" t="str"/>
      <c r="M286" s="305" t="str"/>
      <c r="N286" s="256" t="str"/>
      <c r="O286" s="256" t="str"/>
      <c r="P286" s="306" t="str"/>
    </row>
    <row r="287" ht="20" customHeight="1" s="48">
      <c r="A287" s="304" t="str"/>
      <c r="B287" s="256" t="str"/>
      <c r="C287" s="256" t="str"/>
      <c r="D287" s="256" t="str"/>
      <c r="E287" s="256" t="str"/>
      <c r="F287" s="256" t="str"/>
      <c r="G287" s="256" t="str"/>
      <c r="H287" s="256" t="str"/>
      <c r="I287" s="256" t="str"/>
      <c r="J287" s="308" t="str"/>
      <c r="K287" s="256" t="str"/>
      <c r="L287" s="305" t="str"/>
      <c r="M287" s="305" t="str"/>
      <c r="N287" s="256" t="str"/>
      <c r="O287" s="256" t="str"/>
      <c r="P287" s="306" t="str"/>
    </row>
    <row r="288" ht="20" customHeight="1" s="48">
      <c r="A288" s="304" t="str"/>
      <c r="B288" s="256" t="str"/>
      <c r="C288" s="256" t="str"/>
      <c r="D288" s="256" t="str"/>
      <c r="E288" s="256" t="str"/>
      <c r="F288" s="256" t="str"/>
      <c r="G288" s="256" t="str"/>
      <c r="H288" s="256" t="str"/>
      <c r="I288" s="256" t="str"/>
      <c r="J288" s="308" t="str"/>
      <c r="K288" s="256" t="str"/>
      <c r="L288" s="305" t="str"/>
      <c r="M288" s="305" t="str"/>
      <c r="N288" s="256" t="str"/>
      <c r="O288" s="256" t="str"/>
      <c r="P288" s="306" t="str"/>
    </row>
    <row r="289" ht="20" customHeight="1" s="48">
      <c r="A289" s="304" t="str"/>
      <c r="B289" s="256" t="str"/>
      <c r="C289" s="256" t="str"/>
      <c r="D289" s="256" t="str"/>
      <c r="E289" s="256" t="str"/>
      <c r="F289" s="256" t="str"/>
      <c r="G289" s="256" t="str"/>
      <c r="H289" s="256" t="str"/>
      <c r="I289" s="256" t="str"/>
      <c r="J289" s="308" t="str"/>
      <c r="K289" s="256" t="str"/>
      <c r="L289" s="305" t="str"/>
      <c r="M289" s="305" t="str"/>
      <c r="N289" s="256" t="str"/>
      <c r="O289" s="256" t="str"/>
      <c r="P289" s="306" t="str"/>
    </row>
    <row r="290" ht="20" customHeight="1" s="48">
      <c r="A290" s="304" t="str"/>
      <c r="B290" s="256" t="str"/>
      <c r="C290" s="256" t="str"/>
      <c r="D290" s="256" t="str"/>
      <c r="E290" s="256" t="str"/>
      <c r="F290" s="256" t="str"/>
      <c r="G290" s="256" t="str"/>
      <c r="H290" s="256" t="str"/>
      <c r="I290" s="256" t="str"/>
      <c r="J290" s="308" t="str"/>
      <c r="K290" s="256" t="str"/>
      <c r="L290" s="305" t="str"/>
      <c r="M290" s="305" t="str"/>
      <c r="N290" s="256" t="str"/>
      <c r="O290" s="256" t="str"/>
      <c r="P290" s="306" t="str"/>
    </row>
    <row r="291" ht="20" customHeight="1" s="48">
      <c r="A291" s="304" t="str"/>
      <c r="B291" s="256" t="str"/>
      <c r="C291" s="256" t="str"/>
      <c r="D291" s="256" t="str"/>
      <c r="E291" s="256" t="str"/>
      <c r="F291" s="256" t="str"/>
      <c r="G291" s="256" t="str"/>
      <c r="H291" s="256" t="str"/>
      <c r="I291" s="256" t="str"/>
      <c r="J291" s="308" t="str"/>
      <c r="K291" s="256" t="str"/>
      <c r="L291" s="305" t="str"/>
      <c r="M291" s="305" t="str"/>
      <c r="N291" s="256" t="str"/>
      <c r="O291" s="256" t="str"/>
      <c r="P291" s="306" t="str"/>
    </row>
    <row r="292" ht="20" customHeight="1" s="48">
      <c r="A292" s="304" t="str"/>
      <c r="B292" s="256" t="str"/>
      <c r="C292" s="256" t="str"/>
      <c r="D292" s="256" t="str"/>
      <c r="E292" s="256" t="str"/>
      <c r="F292" s="256" t="str"/>
      <c r="G292" s="256" t="str"/>
      <c r="H292" s="256" t="str"/>
      <c r="I292" s="256" t="str"/>
      <c r="J292" s="308" t="str"/>
      <c r="K292" s="256" t="str"/>
      <c r="L292" s="305" t="str"/>
      <c r="M292" s="305" t="str"/>
      <c r="N292" s="256" t="str"/>
      <c r="O292" s="256" t="str"/>
      <c r="P292" s="306" t="str"/>
    </row>
    <row r="293" ht="20" customHeight="1" s="48">
      <c r="A293" s="304" t="str"/>
      <c r="B293" s="256" t="str"/>
      <c r="C293" s="256" t="str"/>
      <c r="D293" s="256" t="str"/>
      <c r="E293" s="256" t="str"/>
      <c r="F293" s="256" t="str"/>
      <c r="G293" s="256" t="str"/>
      <c r="H293" s="256" t="str"/>
      <c r="I293" s="256" t="str"/>
      <c r="J293" s="308" t="str"/>
      <c r="K293" s="256" t="str"/>
      <c r="L293" s="305" t="str"/>
      <c r="M293" s="305" t="str"/>
      <c r="N293" s="256" t="str"/>
      <c r="O293" s="256" t="str"/>
      <c r="P293" s="306" t="str"/>
    </row>
    <row r="294" ht="20" customHeight="1" s="48">
      <c r="A294" s="304" t="str"/>
      <c r="B294" s="256" t="str"/>
      <c r="C294" s="256" t="str"/>
      <c r="D294" s="256" t="str"/>
      <c r="E294" s="256" t="str"/>
      <c r="F294" s="256" t="str"/>
      <c r="G294" s="256" t="str"/>
      <c r="H294" s="256" t="str"/>
      <c r="I294" s="256" t="str"/>
      <c r="J294" s="308" t="str"/>
      <c r="K294" s="256" t="str"/>
      <c r="L294" s="305" t="str"/>
      <c r="M294" s="305" t="str"/>
      <c r="N294" s="256" t="str"/>
      <c r="O294" s="256" t="str"/>
      <c r="P294" s="306" t="str"/>
    </row>
    <row r="295" ht="20" customHeight="1" s="48">
      <c r="A295" s="304" t="str"/>
      <c r="B295" s="256" t="str"/>
      <c r="C295" s="256" t="str"/>
      <c r="D295" s="256" t="str"/>
      <c r="E295" s="256" t="str"/>
      <c r="F295" s="256" t="str"/>
      <c r="G295" s="256" t="str"/>
      <c r="H295" s="256" t="str"/>
      <c r="I295" s="256" t="str"/>
      <c r="J295" s="308" t="str"/>
      <c r="K295" s="256" t="str"/>
      <c r="L295" s="305" t="str"/>
      <c r="M295" s="305" t="str"/>
      <c r="N295" s="256" t="str"/>
      <c r="O295" s="256" t="str"/>
      <c r="P295" s="306" t="str"/>
    </row>
    <row r="296" ht="20" customHeight="1" s="48">
      <c r="A296" s="304" t="str"/>
      <c r="B296" s="256" t="str"/>
      <c r="C296" s="256" t="str"/>
      <c r="D296" s="256" t="str"/>
      <c r="E296" s="256" t="str"/>
      <c r="F296" s="256" t="str"/>
      <c r="G296" s="256" t="str"/>
      <c r="H296" s="256" t="str"/>
      <c r="I296" s="256" t="str"/>
      <c r="J296" s="308" t="str"/>
      <c r="K296" s="256" t="str"/>
      <c r="L296" s="305" t="str"/>
      <c r="M296" s="305" t="str"/>
      <c r="N296" s="256" t="str"/>
      <c r="O296" s="256" t="str"/>
      <c r="P296" s="306" t="str"/>
    </row>
    <row r="297" ht="20" customHeight="1" s="48">
      <c r="A297" s="304" t="str"/>
      <c r="B297" s="256" t="str"/>
      <c r="C297" s="256" t="str"/>
      <c r="D297" s="256" t="str"/>
      <c r="E297" s="256" t="str"/>
      <c r="F297" s="256" t="str"/>
      <c r="G297" s="256" t="str"/>
      <c r="H297" s="256" t="str"/>
      <c r="I297" s="256" t="str"/>
      <c r="J297" s="308" t="str"/>
      <c r="K297" s="256" t="str"/>
      <c r="L297" s="305" t="str"/>
      <c r="M297" s="305" t="str"/>
      <c r="N297" s="256" t="str"/>
      <c r="O297" s="256" t="str"/>
      <c r="P297" s="306" t="str"/>
    </row>
    <row r="298" ht="20" customHeight="1" s="48">
      <c r="A298" s="304" t="str"/>
      <c r="B298" s="256" t="str"/>
      <c r="C298" s="256" t="str"/>
      <c r="D298" s="256" t="str"/>
      <c r="E298" s="256" t="str"/>
      <c r="F298" s="256" t="str"/>
      <c r="G298" s="256" t="str"/>
      <c r="H298" s="256" t="str"/>
      <c r="I298" s="256" t="str"/>
      <c r="J298" s="308" t="str"/>
      <c r="K298" s="256" t="str"/>
      <c r="L298" s="305" t="str"/>
      <c r="M298" s="305" t="str"/>
      <c r="N298" s="256" t="str"/>
      <c r="O298" s="256" t="str"/>
      <c r="P298" s="306" t="str"/>
    </row>
    <row r="299" ht="20" customHeight="1" s="48">
      <c r="A299" s="304" t="str"/>
      <c r="B299" s="256" t="str"/>
      <c r="C299" s="256" t="str"/>
      <c r="D299" s="256" t="str"/>
      <c r="E299" s="256" t="str"/>
      <c r="F299" s="256" t="str"/>
      <c r="G299" s="256" t="str"/>
      <c r="H299" s="256" t="str"/>
      <c r="I299" s="256" t="str"/>
      <c r="J299" s="308" t="str"/>
      <c r="K299" s="256" t="str"/>
      <c r="L299" s="305" t="str"/>
      <c r="M299" s="305" t="str"/>
      <c r="N299" s="256" t="str"/>
      <c r="O299" s="256" t="str"/>
      <c r="P299" s="306" t="str"/>
    </row>
    <row r="300" ht="20" customHeight="1" s="48">
      <c r="A300" s="304" t="str"/>
      <c r="B300" s="256" t="str"/>
      <c r="C300" s="256" t="str"/>
      <c r="D300" s="256" t="str"/>
      <c r="E300" s="256" t="str"/>
      <c r="F300" s="256" t="str"/>
      <c r="G300" s="256" t="str"/>
      <c r="H300" s="256" t="str"/>
      <c r="I300" s="256" t="str"/>
      <c r="J300" s="308" t="str"/>
      <c r="K300" s="256" t="str"/>
      <c r="L300" s="305" t="str"/>
      <c r="M300" s="305" t="str"/>
      <c r="N300" s="256" t="str"/>
      <c r="O300" s="256" t="str"/>
      <c r="P300" s="306" t="str"/>
    </row>
    <row r="301" ht="20" customHeight="1" s="48">
      <c r="A301" s="304" t="str"/>
      <c r="B301" s="256" t="str"/>
      <c r="C301" s="256" t="str"/>
      <c r="D301" s="256" t="str"/>
      <c r="E301" s="256" t="str"/>
      <c r="F301" s="256" t="str"/>
      <c r="G301" s="256" t="str"/>
      <c r="H301" s="256" t="str"/>
      <c r="I301" s="256" t="str"/>
      <c r="J301" s="308" t="str"/>
      <c r="K301" s="256" t="str"/>
      <c r="L301" s="305" t="str"/>
      <c r="M301" s="305" t="str"/>
      <c r="N301" s="256" t="str"/>
      <c r="O301" s="256" t="str"/>
      <c r="P301" s="306" t="str"/>
    </row>
    <row r="302" ht="20" customHeight="1" s="48">
      <c r="A302" s="262" t="str"/>
      <c r="B302" s="263" t="str"/>
      <c r="C302" s="263" t="str"/>
      <c r="D302" s="263" t="str"/>
      <c r="E302" s="263" t="str"/>
      <c r="F302" s="263" t="str"/>
      <c r="G302" s="263" t="str"/>
      <c r="H302" s="263" t="str"/>
      <c r="I302" s="263" t="str"/>
      <c r="J302" s="309" t="str"/>
      <c r="K302" s="263" t="str"/>
      <c r="L302" s="307" t="str"/>
      <c r="M302" s="307" t="str"/>
      <c r="N302" s="263" t="str"/>
      <c r="O302" s="263" t="str"/>
      <c r="P302" s="264" t="str"/>
    </row>
    <row r="303" ht="20" customHeight="1" s="48"/>
    <row r="304" ht="20" customHeight="1" s="48"/>
    <row r="305" ht="20" customHeight="1" s="48"/>
    <row r="306" ht="20" customHeight="1" s="48"/>
    <row r="307" ht="20" customHeight="1" s="48"/>
    <row r="308" ht="20" customHeight="1" s="48"/>
    <row r="309" ht="20" customHeight="1" s="48"/>
    <row r="310" ht="20" customHeight="1" s="48"/>
    <row r="311" ht="20" customHeight="1" s="48"/>
    <row r="312" ht="20" customHeight="1" s="48"/>
    <row r="313" ht="20" customHeight="1" s="48"/>
    <row r="314" ht="20" customHeight="1" s="48"/>
    <row r="315" ht="20" customHeight="1" s="48"/>
    <row r="316" ht="20" customHeight="1" s="48"/>
    <row r="317" ht="20" customHeight="1" s="48"/>
    <row r="318" ht="20" customHeight="1" s="48"/>
    <row r="319" ht="20" customHeight="1" s="48"/>
    <row r="320" ht="20" customHeight="1" s="48"/>
    <row r="321" ht="20" customHeight="1" s="48"/>
    <row r="322" ht="20" customHeight="1" s="48"/>
    <row r="323" ht="20" customHeight="1" s="48"/>
    <row r="324" ht="20" customHeight="1" s="48"/>
    <row r="325" ht="20" customHeight="1" s="48"/>
    <row r="326" ht="20" customHeight="1" s="48"/>
    <row r="327" ht="20" customHeight="1" s="48"/>
    <row r="328" ht="20" customHeight="1" s="48"/>
    <row r="329" ht="20" customHeight="1" s="48"/>
    <row r="330" ht="20" customHeight="1" s="48"/>
    <row r="331" ht="20" customHeight="1" s="48"/>
    <row r="332" ht="20" customHeight="1" s="48"/>
    <row r="333" ht="20" customHeight="1" s="48"/>
    <row r="334" ht="20" customHeight="1" s="48"/>
    <row r="335" ht="20" customHeight="1" s="48"/>
    <row r="336" ht="20" customHeight="1" s="48"/>
    <row r="337" ht="20" customHeight="1" s="48"/>
    <row r="338" ht="20" customHeight="1" s="48"/>
    <row r="339" ht="20" customHeight="1" s="48"/>
    <row r="340" ht="20" customHeight="1" s="48"/>
    <row r="341" ht="20" customHeight="1" s="48"/>
    <row r="342" ht="20" customHeight="1" s="48"/>
    <row r="343" ht="20" customHeight="1" s="48"/>
    <row r="344" ht="20" customHeight="1" s="48"/>
    <row r="345" ht="20" customHeight="1" s="48"/>
    <row r="346" ht="20" customHeight="1" s="48"/>
    <row r="347" ht="20" customHeight="1" s="48"/>
    <row r="348" ht="20" customHeight="1" s="48"/>
    <row r="349" ht="20" customHeight="1" s="48"/>
    <row r="350" ht="20" customHeight="1" s="48"/>
    <row r="351" ht="20" customHeight="1" s="48"/>
    <row r="352" ht="20" customHeight="1" s="48"/>
    <row r="353" ht="20" customHeight="1" s="48"/>
    <row r="354" ht="20" customHeight="1" s="48"/>
    <row r="355" ht="20" customHeight="1" s="48"/>
    <row r="356" ht="20" customHeight="1" s="48"/>
    <row r="357" ht="20" customHeight="1" s="48"/>
    <row r="358" ht="20" customHeight="1" s="48"/>
    <row r="359" ht="20" customHeight="1" s="48"/>
    <row r="360" ht="20" customHeight="1" s="48"/>
    <row r="361" ht="20" customHeight="1" s="48"/>
    <row r="362" ht="20" customHeight="1" s="48"/>
    <row r="363" ht="20" customHeight="1" s="48"/>
    <row r="364" ht="20" customHeight="1" s="48"/>
    <row r="365" ht="20" customHeight="1" s="48"/>
    <row r="366" ht="20" customHeight="1" s="48"/>
    <row r="367" ht="20" customHeight="1" s="48"/>
    <row r="368" ht="20" customHeight="1" s="48"/>
    <row r="369" ht="20" customHeight="1" s="48"/>
    <row r="370" ht="20" customHeight="1" s="48"/>
    <row r="371" ht="20" customHeight="1" s="48"/>
    <row r="372" ht="20" customHeight="1" s="48"/>
    <row r="373" ht="20" customHeight="1" s="48"/>
    <row r="374" ht="20" customHeight="1" s="48"/>
    <row r="375" ht="20" customHeight="1" s="48"/>
    <row r="376" ht="20" customHeight="1" s="48"/>
    <row r="377" ht="20" customHeight="1" s="48"/>
    <row r="378" ht="20" customHeight="1" s="48"/>
    <row r="379" ht="20" customHeight="1" s="48"/>
    <row r="380" ht="20" customHeight="1" s="48"/>
    <row r="381" ht="20" customHeight="1" s="48"/>
    <row r="382" ht="20" customHeight="1" s="48"/>
    <row r="383" ht="20" customHeight="1" s="48"/>
    <row r="384" ht="20" customHeight="1" s="48"/>
    <row r="385" ht="20" customHeight="1" s="48"/>
    <row r="386" ht="20" customHeight="1" s="48"/>
    <row r="387" ht="20" customHeight="1" s="48"/>
    <row r="388" ht="20" customHeight="1" s="48"/>
    <row r="389" ht="20" customHeight="1" s="48"/>
    <row r="390" ht="20" customHeight="1" s="48"/>
    <row r="391" ht="20" customHeight="1" s="48"/>
    <row r="392" ht="20" customHeight="1" s="48"/>
    <row r="393" ht="20" customHeight="1" s="48"/>
    <row r="394" ht="20" customHeight="1" s="48"/>
    <row r="395" ht="20" customHeight="1" s="48"/>
    <row r="396" ht="20" customHeight="1" s="48"/>
    <row r="397" ht="20" customHeight="1" s="48"/>
    <row r="398" ht="20" customHeight="1" s="48"/>
    <row r="399" ht="20" customHeight="1" s="48"/>
    <row r="400" ht="20" customHeight="1" s="48"/>
    <row r="401" ht="20" customHeight="1" s="48"/>
    <row r="402" ht="20" customHeight="1" s="48"/>
    <row r="403" ht="20" customHeight="1" s="48"/>
    <row r="404" ht="20" customHeight="1" s="48"/>
    <row r="405" ht="20" customHeight="1" s="48"/>
    <row r="406" ht="20" customHeight="1" s="48"/>
    <row r="407" ht="20" customHeight="1" s="48"/>
    <row r="408" ht="20" customHeight="1" s="48"/>
    <row r="409" ht="20" customHeight="1" s="48"/>
    <row r="410" ht="20" customHeight="1" s="48"/>
    <row r="411" ht="20" customHeight="1" s="48"/>
    <row r="412" ht="20" customHeight="1" s="48"/>
    <row r="413" ht="20" customHeight="1" s="48"/>
    <row r="414" ht="20" customHeight="1" s="48"/>
    <row r="415" ht="20" customHeight="1" s="48"/>
    <row r="416" ht="20" customHeight="1" s="48"/>
    <row r="417" ht="20" customHeight="1" s="48"/>
    <row r="418" ht="20" customHeight="1" s="48"/>
    <row r="419" ht="20" customHeight="1" s="48"/>
    <row r="420" ht="20" customHeight="1" s="48"/>
    <row r="421" ht="20" customHeight="1" s="48"/>
    <row r="422" ht="20" customHeight="1" s="48"/>
    <row r="423" ht="20" customHeight="1" s="48"/>
    <row r="424" ht="20" customHeight="1" s="48"/>
    <row r="425" ht="20" customHeight="1" s="48"/>
    <row r="426" ht="20" customHeight="1" s="48"/>
    <row r="427" ht="20" customHeight="1" s="48"/>
    <row r="428" ht="20" customHeight="1" s="48"/>
    <row r="429" ht="20" customHeight="1" s="48"/>
    <row r="430" ht="20" customHeight="1" s="48"/>
    <row r="431" ht="20" customHeight="1" s="48"/>
    <row r="432" ht="20" customHeight="1" s="48"/>
    <row r="433" ht="20" customHeight="1" s="48"/>
    <row r="434" ht="20" customHeight="1" s="48"/>
    <row r="435" ht="20" customHeight="1" s="48"/>
    <row r="436" ht="20" customHeight="1" s="48"/>
    <row r="437" ht="20" customHeight="1" s="48"/>
    <row r="438" ht="20" customHeight="1" s="48"/>
    <row r="439" ht="20" customHeight="1" s="48"/>
    <row r="440" ht="20" customHeight="1" s="48"/>
    <row r="441" ht="20" customHeight="1" s="48"/>
    <row r="442" ht="20" customHeight="1" s="48"/>
    <row r="443" ht="20" customHeight="1" s="48"/>
    <row r="444" ht="20" customHeight="1" s="48"/>
    <row r="445" ht="20" customHeight="1" s="48"/>
    <row r="446" ht="20" customHeight="1" s="48"/>
    <row r="447" ht="20" customHeight="1" s="48"/>
    <row r="448" ht="20" customHeight="1" s="48"/>
    <row r="449" ht="20" customHeight="1" s="48"/>
    <row r="450" ht="20" customHeight="1" s="48"/>
    <row r="451" ht="20" customHeight="1" s="48"/>
    <row r="452" ht="20" customHeight="1" s="48"/>
    <row r="453" ht="20" customHeight="1" s="48"/>
    <row r="454" ht="20" customHeight="1" s="48"/>
    <row r="455" ht="20" customHeight="1" s="48"/>
    <row r="456" ht="20" customHeight="1" s="48"/>
    <row r="457" ht="20" customHeight="1" s="48"/>
    <row r="458" ht="20" customHeight="1" s="48"/>
    <row r="459" ht="20" customHeight="1" s="48"/>
    <row r="460" ht="20" customHeight="1" s="48"/>
    <row r="461" ht="20" customHeight="1" s="48"/>
    <row r="462" ht="20" customHeight="1" s="48"/>
    <row r="463" ht="20" customHeight="1" s="48"/>
    <row r="464" ht="20" customHeight="1" s="48"/>
    <row r="465" ht="20" customHeight="1" s="48"/>
    <row r="466" ht="20" customHeight="1" s="48"/>
    <row r="467" ht="20" customHeight="1" s="48"/>
    <row r="468" ht="20" customHeight="1" s="48"/>
    <row r="469" ht="20" customHeight="1" s="48"/>
    <row r="470" ht="20" customHeight="1" s="48"/>
    <row r="471" ht="20" customHeight="1" s="48"/>
    <row r="472" ht="20" customHeight="1" s="48"/>
    <row r="473" ht="20" customHeight="1" s="48"/>
    <row r="474" ht="20" customHeight="1" s="48"/>
    <row r="475" ht="20" customHeight="1" s="48"/>
    <row r="476" ht="20" customHeight="1" s="48"/>
    <row r="477" ht="20" customHeight="1" s="48"/>
    <row r="478" ht="20" customHeight="1" s="48"/>
    <row r="479" ht="20" customHeight="1" s="48"/>
    <row r="480" ht="20" customHeight="1" s="48"/>
    <row r="481" ht="20" customHeight="1" s="48"/>
    <row r="482" ht="20" customHeight="1" s="48"/>
    <row r="483" ht="20" customHeight="1" s="48"/>
    <row r="484" ht="20" customHeight="1" s="48"/>
    <row r="485" ht="20" customHeight="1" s="48"/>
    <row r="486" ht="20" customHeight="1" s="48"/>
    <row r="487" ht="20" customHeight="1" s="48"/>
    <row r="488" ht="20" customHeight="1" s="48"/>
    <row r="489" ht="20" customHeight="1" s="48"/>
    <row r="490" ht="20" customHeight="1" s="48"/>
    <row r="491" ht="20" customHeight="1" s="48"/>
    <row r="492" ht="20" customHeight="1" s="48"/>
    <row r="493" ht="20" customHeight="1" s="48"/>
    <row r="494" ht="20" customHeight="1" s="48"/>
    <row r="495" ht="20" customHeight="1" s="48"/>
    <row r="496" ht="20" customHeight="1" s="48"/>
    <row r="497" ht="20" customHeight="1" s="48"/>
    <row r="498" ht="20" customHeight="1" s="48"/>
    <row r="499" ht="20" customHeight="1" s="48"/>
    <row r="500" ht="20" customHeight="1" s="48"/>
  </sheetData>
  <mergeCells count="1">
    <mergeCell ref="A1:P1"/>
  </mergeCells>
  <conditionalFormatting sqref="I4:I302">
    <cfRule type="expression" priority="1" dxfId="0">
      <formula>$I4="不可使用"</formula>
    </cfRule>
  </conditionalFormatting>
  <conditionalFormatting sqref="J4:J302">
    <cfRule type="expression" priority="2" dxfId="2">
      <formula>$J4="已就绪"</formula>
    </cfRule>
  </conditionalFormatting>
  <dataValidations count="4">
    <dataValidation sqref="D4:D302" showDropDown="0" showInputMessage="0" showErrorMessage="0" allowBlank="0" type="list">
      <formula1>"B-roll,图片,电影片段/剧照,图标,地图,数据图表,屏幕录制,音乐,音效,字幕/文字,其他"</formula1>
    </dataValidation>
    <dataValidation sqref="G4:G302" showDropDown="0" showInputMessage="0" showErrorMessage="0" allowBlank="0" type="list">
      <formula1>"自摄,自制,AI 生成,公共领域,CC 授权,付费素材库,授权素材/合理使用评估,网络待确认"</formula1>
    </dataValidation>
    <dataValidation sqref="I4:I302" showDropDown="0" showInputMessage="0" showErrorMessage="0" allowBlank="0" type="list">
      <formula1>"自有/可用,已授权,公共领域,合理使用评估,待确认,不可使用"</formula1>
    </dataValidation>
    <dataValidation sqref="J4:J302" showDropDown="0" showInputMessage="0" showErrorMessage="0" allowBlank="0" type="list">
      <formula1>"待寻找,待制作,制作中,待审核,已就绪,已替换,取消"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EF4444"/>
    <outlinePr summaryBelow="1" summaryRight="1"/>
    <pageSetUpPr/>
  </sheetPr>
  <dimension ref="A1:Y10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48" min="1" max="1"/>
    <col width="10" customWidth="1" style="48" min="2" max="2"/>
    <col width="12" customWidth="1" style="48" min="3" max="3"/>
    <col width="22" customWidth="1" style="48" min="4" max="4"/>
    <col width="10" customWidth="1" style="48" min="5" max="5"/>
    <col width="12" customWidth="1" style="48" min="6" max="6"/>
    <col width="11" customWidth="1" style="48" min="7" max="7"/>
    <col width="11" customWidth="1" style="48" min="8" max="8"/>
    <col width="8" customWidth="1" style="48" min="9" max="9"/>
    <col width="12" customWidth="1" style="48" min="10" max="10"/>
    <col width="12" customWidth="1" style="48" min="11" max="11"/>
    <col width="12" customWidth="1" style="48" min="12" max="12"/>
    <col width="8" customWidth="1" style="48" min="13" max="13"/>
    <col width="8" customWidth="1" style="48" min="14" max="14"/>
    <col width="10" customWidth="1" style="48" min="15" max="15"/>
    <col width="10" customWidth="1" style="48" min="16" max="16"/>
    <col width="10" customWidth="1" style="48" min="17" max="17"/>
    <col width="10" customWidth="1" style="48" min="18" max="18"/>
    <col width="12" customWidth="1" style="48" min="19" max="19"/>
    <col width="12" customWidth="1" style="48" min="20" max="20"/>
    <col width="12" customWidth="1" style="48" min="21" max="21"/>
    <col width="20" customWidth="1" style="48" min="22" max="22"/>
    <col width="18" customWidth="1" style="48" min="23" max="23"/>
    <col width="18" customWidth="1" style="48" min="24" max="24"/>
    <col width="18" customWidth="1" style="48" min="25" max="25"/>
  </cols>
  <sheetData>
    <row r="1" ht="28" customHeight="1" s="48">
      <c r="A1" s="255" t="inlineStr">
        <is>
          <t>发布复盘｜Publish &amp; Optimize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 s="48">
      <c r="A2" s="256" t="n"/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  <c r="O2" s="256" t="n"/>
      <c r="P2" s="256" t="n"/>
      <c r="Q2" s="256" t="n"/>
      <c r="R2" s="256" t="n"/>
      <c r="S2" s="256" t="n"/>
      <c r="T2" s="256" t="n"/>
      <c r="U2" s="256" t="n"/>
      <c r="V2" s="256" t="n"/>
      <c r="W2" s="256" t="n"/>
      <c r="X2" s="256" t="n"/>
      <c r="Y2" s="256" t="n"/>
    </row>
    <row r="3" ht="24" customHeight="1" s="48">
      <c r="A3" s="259" t="inlineStr">
        <is>
          <t>Video ID</t>
        </is>
      </c>
      <c r="B3" s="259" t="inlineStr">
        <is>
          <t>平台</t>
        </is>
      </c>
      <c r="C3" s="259" t="inlineStr">
        <is>
          <t>发布日期</t>
        </is>
      </c>
      <c r="D3" s="259" t="inlineStr">
        <is>
          <t>视频标题</t>
        </is>
      </c>
      <c r="E3" s="259" t="inlineStr">
        <is>
          <t>缩略图版本</t>
        </is>
      </c>
      <c r="F3" s="259" t="inlineStr">
        <is>
          <t>视频时长(秒)</t>
        </is>
      </c>
      <c r="G3" s="259" t="inlineStr">
        <is>
          <t>曝光量</t>
        </is>
      </c>
      <c r="H3" s="259" t="inlineStr">
        <is>
          <t>播放量</t>
        </is>
      </c>
      <c r="I3" s="259" t="inlineStr">
        <is>
          <t>CTR</t>
        </is>
      </c>
      <c r="J3" s="259" t="inlineStr">
        <is>
          <t>总观看时长(小时)</t>
        </is>
      </c>
      <c r="K3" s="259" t="inlineStr">
        <is>
          <t>平均观看时长(秒)</t>
        </is>
      </c>
      <c r="L3" s="259" t="inlineStr">
        <is>
          <t>平均观看比例</t>
        </is>
      </c>
      <c r="M3" s="259" t="inlineStr">
        <is>
          <t>点赞</t>
        </is>
      </c>
      <c r="N3" s="259" t="inlineStr">
        <is>
          <t>评论</t>
        </is>
      </c>
      <c r="O3" s="259" t="inlineStr">
        <is>
          <t>新增订阅</t>
        </is>
      </c>
      <c r="P3" s="259" t="inlineStr">
        <is>
          <t>24h 播放</t>
        </is>
      </c>
      <c r="Q3" s="259" t="inlineStr">
        <is>
          <t>7d 播放</t>
        </is>
      </c>
      <c r="R3" s="259" t="inlineStr">
        <is>
          <t>28d 播放</t>
        </is>
      </c>
      <c r="S3" s="259" t="inlineStr">
        <is>
          <t>前30秒留存</t>
        </is>
      </c>
      <c r="T3" s="259" t="inlineStr">
        <is>
          <t>最大流失时间点</t>
        </is>
      </c>
      <c r="U3" s="259" t="inlineStr">
        <is>
          <t>最大重看时间点</t>
        </is>
      </c>
      <c r="V3" s="259" t="inlineStr">
        <is>
          <t>评论主题摘要</t>
        </is>
      </c>
      <c r="W3" s="259" t="inlineStr">
        <is>
          <t>表现好的部分</t>
        </is>
      </c>
      <c r="X3" s="259" t="inlineStr">
        <is>
          <t>主要问题</t>
        </is>
      </c>
      <c r="Y3" s="259" t="inlineStr">
        <is>
          <t>下期实验</t>
        </is>
      </c>
    </row>
    <row r="4" ht="22" customHeight="1" s="48">
      <c r="A4" s="260" t="inlineStr">
        <is>
          <t>YT-001</t>
        </is>
      </c>
      <c r="B4" s="260" t="inlineStr">
        <is>
          <t>YouTube</t>
        </is>
      </c>
      <c r="C4" s="287" t="str"/>
      <c r="D4" s="260" t="inlineStr">
        <is>
          <t>温柔未来城市的一天</t>
        </is>
      </c>
      <c r="E4" s="260" t="inlineStr">
        <is>
          <t>A</t>
        </is>
      </c>
      <c r="F4" s="260" t="n">
        <v>480</v>
      </c>
      <c r="G4" s="288" t="str"/>
      <c r="H4" s="288" t="str"/>
      <c r="I4" s="286">
        <f>IFERROR(H4/G4,0)</f>
        <v/>
      </c>
      <c r="J4" s="310" t="str"/>
      <c r="K4" s="288" t="str"/>
      <c r="L4" s="286">
        <f>IFERROR(K4/F4,0)</f>
        <v/>
      </c>
      <c r="M4" s="288" t="str"/>
      <c r="N4" s="288" t="str"/>
      <c r="O4" s="288" t="str"/>
      <c r="P4" s="288" t="str"/>
      <c r="Q4" s="288" t="str"/>
      <c r="R4" s="288" t="str"/>
      <c r="S4" s="286" t="str"/>
      <c r="T4" s="260" t="str"/>
      <c r="U4" s="260" t="str"/>
      <c r="V4" s="260" t="str"/>
      <c r="W4" s="260" t="str"/>
      <c r="X4" s="260" t="str"/>
      <c r="Y4" s="260" t="str"/>
    </row>
    <row r="5" ht="22" customHeight="1" s="48">
      <c r="A5" s="261" t="str"/>
      <c r="B5" s="261" t="str"/>
      <c r="C5" s="285" t="str"/>
      <c r="D5" s="261" t="str"/>
      <c r="E5" s="261" t="str"/>
      <c r="F5" s="261" t="str"/>
      <c r="G5" s="289" t="str"/>
      <c r="H5" s="289" t="str"/>
      <c r="I5" s="284">
        <f>IFERROR(H5/G5,0)</f>
        <v/>
      </c>
      <c r="J5" s="311" t="str"/>
      <c r="K5" s="289" t="str"/>
      <c r="L5" s="284">
        <f>IFERROR(K5/F5,0)</f>
        <v/>
      </c>
      <c r="M5" s="289" t="str"/>
      <c r="N5" s="289" t="str"/>
      <c r="O5" s="289" t="str"/>
      <c r="P5" s="289" t="str"/>
      <c r="Q5" s="289" t="str"/>
      <c r="R5" s="289" t="str"/>
      <c r="S5" s="284" t="str"/>
      <c r="T5" s="261" t="str"/>
      <c r="U5" s="261" t="str"/>
      <c r="V5" s="261" t="str"/>
      <c r="W5" s="261" t="str"/>
      <c r="X5" s="261" t="str"/>
      <c r="Y5" s="261" t="str"/>
    </row>
    <row r="6" ht="22" customHeight="1" s="48">
      <c r="A6" s="260" t="str"/>
      <c r="B6" s="260" t="str"/>
      <c r="C6" s="287" t="str"/>
      <c r="D6" s="260" t="str"/>
      <c r="E6" s="260" t="str"/>
      <c r="F6" s="260" t="str"/>
      <c r="G6" s="288" t="str"/>
      <c r="H6" s="288" t="str"/>
      <c r="I6" s="286">
        <f>IFERROR(H6/G6,0)</f>
        <v/>
      </c>
      <c r="J6" s="310" t="str"/>
      <c r="K6" s="288" t="str"/>
      <c r="L6" s="286">
        <f>IFERROR(K6/F6,0)</f>
        <v/>
      </c>
      <c r="M6" s="288" t="str"/>
      <c r="N6" s="288" t="str"/>
      <c r="O6" s="288" t="str"/>
      <c r="P6" s="288" t="str"/>
      <c r="Q6" s="288" t="str"/>
      <c r="R6" s="288" t="str"/>
      <c r="S6" s="286" t="str"/>
      <c r="T6" s="260" t="str"/>
      <c r="U6" s="260" t="str"/>
      <c r="V6" s="260" t="str"/>
      <c r="W6" s="260" t="str"/>
      <c r="X6" s="260" t="str"/>
      <c r="Y6" s="260" t="str"/>
    </row>
    <row r="7" ht="22" customHeight="1" s="48">
      <c r="A7" s="261" t="str"/>
      <c r="B7" s="261" t="str"/>
      <c r="C7" s="285" t="str"/>
      <c r="D7" s="261" t="str"/>
      <c r="E7" s="261" t="str"/>
      <c r="F7" s="261" t="str"/>
      <c r="G7" s="289" t="str"/>
      <c r="H7" s="289" t="str"/>
      <c r="I7" s="284">
        <f>IFERROR(H7/G7,0)</f>
        <v/>
      </c>
      <c r="J7" s="311" t="str"/>
      <c r="K7" s="289" t="str"/>
      <c r="L7" s="284">
        <f>IFERROR(K7/F7,0)</f>
        <v/>
      </c>
      <c r="M7" s="289" t="str"/>
      <c r="N7" s="289" t="str"/>
      <c r="O7" s="289" t="str"/>
      <c r="P7" s="289" t="str"/>
      <c r="Q7" s="289" t="str"/>
      <c r="R7" s="289" t="str"/>
      <c r="S7" s="284" t="str"/>
      <c r="T7" s="261" t="str"/>
      <c r="U7" s="261" t="str"/>
      <c r="V7" s="261" t="str"/>
      <c r="W7" s="261" t="str"/>
      <c r="X7" s="261" t="str"/>
      <c r="Y7" s="261" t="str"/>
    </row>
    <row r="8" ht="22" customHeight="1" s="48">
      <c r="A8" s="260" t="str"/>
      <c r="B8" s="260" t="str"/>
      <c r="C8" s="287" t="str"/>
      <c r="D8" s="260" t="str"/>
      <c r="E8" s="260" t="str"/>
      <c r="F8" s="260" t="str"/>
      <c r="G8" s="288" t="str"/>
      <c r="H8" s="288" t="str"/>
      <c r="I8" s="286">
        <f>IFERROR(H8/G8,0)</f>
        <v/>
      </c>
      <c r="J8" s="310" t="str"/>
      <c r="K8" s="288" t="str"/>
      <c r="L8" s="286">
        <f>IFERROR(K8/F8,0)</f>
        <v/>
      </c>
      <c r="M8" s="288" t="str"/>
      <c r="N8" s="288" t="str"/>
      <c r="O8" s="288" t="str"/>
      <c r="P8" s="288" t="str"/>
      <c r="Q8" s="288" t="str"/>
      <c r="R8" s="288" t="str"/>
      <c r="S8" s="286" t="str"/>
      <c r="T8" s="260" t="str"/>
      <c r="U8" s="260" t="str"/>
      <c r="V8" s="260" t="str"/>
      <c r="W8" s="260" t="str"/>
      <c r="X8" s="260" t="str"/>
      <c r="Y8" s="260" t="str"/>
    </row>
    <row r="9" ht="22" customHeight="1" s="48">
      <c r="A9" s="261" t="str"/>
      <c r="B9" s="261" t="str"/>
      <c r="C9" s="285" t="str"/>
      <c r="D9" s="261" t="str"/>
      <c r="E9" s="261" t="str"/>
      <c r="F9" s="261" t="str"/>
      <c r="G9" s="289" t="str"/>
      <c r="H9" s="289" t="str"/>
      <c r="I9" s="284">
        <f>IFERROR(H9/G9,0)</f>
        <v/>
      </c>
      <c r="J9" s="311" t="str"/>
      <c r="K9" s="289" t="str"/>
      <c r="L9" s="284">
        <f>IFERROR(K9/F9,0)</f>
        <v/>
      </c>
      <c r="M9" s="289" t="str"/>
      <c r="N9" s="289" t="str"/>
      <c r="O9" s="289" t="str"/>
      <c r="P9" s="289" t="str"/>
      <c r="Q9" s="289" t="str"/>
      <c r="R9" s="289" t="str"/>
      <c r="S9" s="284" t="str"/>
      <c r="T9" s="261" t="str"/>
      <c r="U9" s="261" t="str"/>
      <c r="V9" s="261" t="str"/>
      <c r="W9" s="261" t="str"/>
      <c r="X9" s="261" t="str"/>
      <c r="Y9" s="261" t="str"/>
    </row>
    <row r="10" ht="22" customHeight="1" s="48">
      <c r="A10" s="260" t="str"/>
      <c r="B10" s="260" t="str"/>
      <c r="C10" s="287" t="str"/>
      <c r="D10" s="260" t="str"/>
      <c r="E10" s="260" t="str"/>
      <c r="F10" s="260" t="str"/>
      <c r="G10" s="288" t="str"/>
      <c r="H10" s="288" t="str"/>
      <c r="I10" s="286">
        <f>IFERROR(H10/G10,0)</f>
        <v/>
      </c>
      <c r="J10" s="310" t="str"/>
      <c r="K10" s="288" t="str"/>
      <c r="L10" s="286">
        <f>IFERROR(K10/F10,0)</f>
        <v/>
      </c>
      <c r="M10" s="288" t="str"/>
      <c r="N10" s="288" t="str"/>
      <c r="O10" s="288" t="str"/>
      <c r="P10" s="288" t="str"/>
      <c r="Q10" s="288" t="str"/>
      <c r="R10" s="288" t="str"/>
      <c r="S10" s="286" t="str"/>
      <c r="T10" s="260" t="str"/>
      <c r="U10" s="260" t="str"/>
      <c r="V10" s="260" t="str"/>
      <c r="W10" s="260" t="str"/>
      <c r="X10" s="260" t="str"/>
      <c r="Y10" s="260" t="str"/>
    </row>
    <row r="11" ht="22" customHeight="1" s="48">
      <c r="A11" s="261" t="str"/>
      <c r="B11" s="261" t="str"/>
      <c r="C11" s="285" t="str"/>
      <c r="D11" s="261" t="str"/>
      <c r="E11" s="261" t="str"/>
      <c r="F11" s="261" t="str"/>
      <c r="G11" s="289" t="str"/>
      <c r="H11" s="289" t="str"/>
      <c r="I11" s="284">
        <f>IFERROR(H11/G11,0)</f>
        <v/>
      </c>
      <c r="J11" s="311" t="str"/>
      <c r="K11" s="289" t="str"/>
      <c r="L11" s="284">
        <f>IFERROR(K11/F11,0)</f>
        <v/>
      </c>
      <c r="M11" s="289" t="str"/>
      <c r="N11" s="289" t="str"/>
      <c r="O11" s="289" t="str"/>
      <c r="P11" s="289" t="str"/>
      <c r="Q11" s="289" t="str"/>
      <c r="R11" s="289" t="str"/>
      <c r="S11" s="284" t="str"/>
      <c r="T11" s="261" t="str"/>
      <c r="U11" s="261" t="str"/>
      <c r="V11" s="261" t="str"/>
      <c r="W11" s="261" t="str"/>
      <c r="X11" s="261" t="str"/>
      <c r="Y11" s="261" t="str"/>
    </row>
    <row r="12" ht="22" customHeight="1" s="48">
      <c r="A12" s="260" t="str"/>
      <c r="B12" s="260" t="str"/>
      <c r="C12" s="287" t="str"/>
      <c r="D12" s="260" t="str"/>
      <c r="E12" s="260" t="str"/>
      <c r="F12" s="260" t="str"/>
      <c r="G12" s="288" t="str"/>
      <c r="H12" s="288" t="str"/>
      <c r="I12" s="286">
        <f>IFERROR(H12/G12,0)</f>
        <v/>
      </c>
      <c r="J12" s="310" t="str"/>
      <c r="K12" s="288" t="str"/>
      <c r="L12" s="286">
        <f>IFERROR(K12/F12,0)</f>
        <v/>
      </c>
      <c r="M12" s="288" t="str"/>
      <c r="N12" s="288" t="str"/>
      <c r="O12" s="288" t="str"/>
      <c r="P12" s="288" t="str"/>
      <c r="Q12" s="288" t="str"/>
      <c r="R12" s="288" t="str"/>
      <c r="S12" s="286" t="str"/>
      <c r="T12" s="260" t="str"/>
      <c r="U12" s="260" t="str"/>
      <c r="V12" s="260" t="str"/>
      <c r="W12" s="260" t="str"/>
      <c r="X12" s="260" t="str"/>
      <c r="Y12" s="260" t="str"/>
    </row>
    <row r="13" ht="22" customHeight="1" s="48">
      <c r="A13" s="261" t="str"/>
      <c r="B13" s="261" t="str"/>
      <c r="C13" s="285" t="str"/>
      <c r="D13" s="261" t="str"/>
      <c r="E13" s="261" t="str"/>
      <c r="F13" s="261" t="str"/>
      <c r="G13" s="289" t="str"/>
      <c r="H13" s="289" t="str"/>
      <c r="I13" s="284">
        <f>IFERROR(H13/G13,0)</f>
        <v/>
      </c>
      <c r="J13" s="311" t="str"/>
      <c r="K13" s="289" t="str"/>
      <c r="L13" s="284">
        <f>IFERROR(K13/F13,0)</f>
        <v/>
      </c>
      <c r="M13" s="289" t="str"/>
      <c r="N13" s="289" t="str"/>
      <c r="O13" s="289" t="str"/>
      <c r="P13" s="289" t="str"/>
      <c r="Q13" s="289" t="str"/>
      <c r="R13" s="289" t="str"/>
      <c r="S13" s="284" t="str"/>
      <c r="T13" s="261" t="str"/>
      <c r="U13" s="261" t="str"/>
      <c r="V13" s="261" t="str"/>
      <c r="W13" s="261" t="str"/>
      <c r="X13" s="261" t="str"/>
      <c r="Y13" s="261" t="str"/>
    </row>
    <row r="14" ht="22" customHeight="1" s="48">
      <c r="A14" s="260" t="str"/>
      <c r="B14" s="260" t="str"/>
      <c r="C14" s="287" t="str"/>
      <c r="D14" s="260" t="str"/>
      <c r="E14" s="260" t="str"/>
      <c r="F14" s="260" t="str"/>
      <c r="G14" s="288" t="str"/>
      <c r="H14" s="288" t="str"/>
      <c r="I14" s="286">
        <f>IFERROR(H14/G14,0)</f>
        <v/>
      </c>
      <c r="J14" s="310" t="str"/>
      <c r="K14" s="288" t="str"/>
      <c r="L14" s="286">
        <f>IFERROR(K14/F14,0)</f>
        <v/>
      </c>
      <c r="M14" s="288" t="str"/>
      <c r="N14" s="288" t="str"/>
      <c r="O14" s="288" t="str"/>
      <c r="P14" s="288" t="str"/>
      <c r="Q14" s="288" t="str"/>
      <c r="R14" s="288" t="str"/>
      <c r="S14" s="286" t="str"/>
      <c r="T14" s="260" t="str"/>
      <c r="U14" s="260" t="str"/>
      <c r="V14" s="260" t="str"/>
      <c r="W14" s="260" t="str"/>
      <c r="X14" s="260" t="str"/>
      <c r="Y14" s="260" t="str"/>
    </row>
    <row r="15" ht="22" customHeight="1" s="48">
      <c r="A15" s="261" t="str"/>
      <c r="B15" s="261" t="str"/>
      <c r="C15" s="285" t="str"/>
      <c r="D15" s="261" t="str"/>
      <c r="E15" s="261" t="str"/>
      <c r="F15" s="261" t="str"/>
      <c r="G15" s="289" t="str"/>
      <c r="H15" s="289" t="str"/>
      <c r="I15" s="284">
        <f>IFERROR(H15/G15,0)</f>
        <v/>
      </c>
      <c r="J15" s="311" t="str"/>
      <c r="K15" s="289" t="str"/>
      <c r="L15" s="284">
        <f>IFERROR(K15/F15,0)</f>
        <v/>
      </c>
      <c r="M15" s="289" t="str"/>
      <c r="N15" s="289" t="str"/>
      <c r="O15" s="289" t="str"/>
      <c r="P15" s="289" t="str"/>
      <c r="Q15" s="289" t="str"/>
      <c r="R15" s="289" t="str"/>
      <c r="S15" s="284" t="str"/>
      <c r="T15" s="261" t="str"/>
      <c r="U15" s="261" t="str"/>
      <c r="V15" s="261" t="str"/>
      <c r="W15" s="261" t="str"/>
      <c r="X15" s="261" t="str"/>
      <c r="Y15" s="261" t="str"/>
    </row>
    <row r="16" ht="22" customHeight="1" s="48">
      <c r="A16" s="260" t="str"/>
      <c r="B16" s="260" t="str"/>
      <c r="C16" s="287" t="str"/>
      <c r="D16" s="260" t="str"/>
      <c r="E16" s="260" t="str"/>
      <c r="F16" s="260" t="str"/>
      <c r="G16" s="288" t="str"/>
      <c r="H16" s="288" t="str"/>
      <c r="I16" s="286">
        <f>IFERROR(H16/G16,0)</f>
        <v/>
      </c>
      <c r="J16" s="310" t="str"/>
      <c r="K16" s="288" t="str"/>
      <c r="L16" s="286">
        <f>IFERROR(K16/F16,0)</f>
        <v/>
      </c>
      <c r="M16" s="288" t="str"/>
      <c r="N16" s="288" t="str"/>
      <c r="O16" s="288" t="str"/>
      <c r="P16" s="288" t="str"/>
      <c r="Q16" s="288" t="str"/>
      <c r="R16" s="288" t="str"/>
      <c r="S16" s="286" t="str"/>
      <c r="T16" s="260" t="str"/>
      <c r="U16" s="260" t="str"/>
      <c r="V16" s="260" t="str"/>
      <c r="W16" s="260" t="str"/>
      <c r="X16" s="260" t="str"/>
      <c r="Y16" s="260" t="str"/>
    </row>
    <row r="17" ht="22" customHeight="1" s="48">
      <c r="A17" s="261" t="str"/>
      <c r="B17" s="261" t="str"/>
      <c r="C17" s="285" t="str"/>
      <c r="D17" s="261" t="str"/>
      <c r="E17" s="261" t="str"/>
      <c r="F17" s="261" t="str"/>
      <c r="G17" s="289" t="str"/>
      <c r="H17" s="289" t="str"/>
      <c r="I17" s="284">
        <f>IFERROR(H17/G17,0)</f>
        <v/>
      </c>
      <c r="J17" s="311" t="str"/>
      <c r="K17" s="289" t="str"/>
      <c r="L17" s="284">
        <f>IFERROR(K17/F17,0)</f>
        <v/>
      </c>
      <c r="M17" s="289" t="str"/>
      <c r="N17" s="289" t="str"/>
      <c r="O17" s="289" t="str"/>
      <c r="P17" s="289" t="str"/>
      <c r="Q17" s="289" t="str"/>
      <c r="R17" s="289" t="str"/>
      <c r="S17" s="284" t="str"/>
      <c r="T17" s="261" t="str"/>
      <c r="U17" s="261" t="str"/>
      <c r="V17" s="261" t="str"/>
      <c r="W17" s="261" t="str"/>
      <c r="X17" s="261" t="str"/>
      <c r="Y17" s="261" t="str"/>
    </row>
    <row r="18" ht="22" customHeight="1" s="48">
      <c r="A18" s="260" t="str"/>
      <c r="B18" s="260" t="str"/>
      <c r="C18" s="287" t="str"/>
      <c r="D18" s="260" t="str"/>
      <c r="E18" s="260" t="str"/>
      <c r="F18" s="260" t="str"/>
      <c r="G18" s="288" t="str"/>
      <c r="H18" s="288" t="str"/>
      <c r="I18" s="286">
        <f>IFERROR(H18/G18,0)</f>
        <v/>
      </c>
      <c r="J18" s="310" t="str"/>
      <c r="K18" s="288" t="str"/>
      <c r="L18" s="286">
        <f>IFERROR(K18/F18,0)</f>
        <v/>
      </c>
      <c r="M18" s="288" t="str"/>
      <c r="N18" s="288" t="str"/>
      <c r="O18" s="288" t="str"/>
      <c r="P18" s="288" t="str"/>
      <c r="Q18" s="288" t="str"/>
      <c r="R18" s="288" t="str"/>
      <c r="S18" s="286" t="str"/>
      <c r="T18" s="260" t="str"/>
      <c r="U18" s="260" t="str"/>
      <c r="V18" s="260" t="str"/>
      <c r="W18" s="260" t="str"/>
      <c r="X18" s="260" t="str"/>
      <c r="Y18" s="260" t="str"/>
    </row>
    <row r="19" ht="22" customHeight="1" s="48">
      <c r="A19" s="261" t="str"/>
      <c r="B19" s="261" t="str"/>
      <c r="C19" s="285" t="str"/>
      <c r="D19" s="261" t="str"/>
      <c r="E19" s="261" t="str"/>
      <c r="F19" s="261" t="str"/>
      <c r="G19" s="289" t="str"/>
      <c r="H19" s="289" t="str"/>
      <c r="I19" s="284">
        <f>IFERROR(H19/G19,0)</f>
        <v/>
      </c>
      <c r="J19" s="311" t="str"/>
      <c r="K19" s="289" t="str"/>
      <c r="L19" s="284">
        <f>IFERROR(K19/F19,0)</f>
        <v/>
      </c>
      <c r="M19" s="289" t="str"/>
      <c r="N19" s="289" t="str"/>
      <c r="O19" s="289" t="str"/>
      <c r="P19" s="289" t="str"/>
      <c r="Q19" s="289" t="str"/>
      <c r="R19" s="289" t="str"/>
      <c r="S19" s="284" t="str"/>
      <c r="T19" s="261" t="str"/>
      <c r="U19" s="261" t="str"/>
      <c r="V19" s="261" t="str"/>
      <c r="W19" s="261" t="str"/>
      <c r="X19" s="261" t="str"/>
      <c r="Y19" s="261" t="str"/>
    </row>
    <row r="20" ht="22" customHeight="1" s="48">
      <c r="A20" s="260" t="str"/>
      <c r="B20" s="260" t="str"/>
      <c r="C20" s="287" t="str"/>
      <c r="D20" s="260" t="str"/>
      <c r="E20" s="260" t="str"/>
      <c r="F20" s="260" t="str"/>
      <c r="G20" s="288" t="str"/>
      <c r="H20" s="288" t="str"/>
      <c r="I20" s="286">
        <f>IFERROR(H20/G20,0)</f>
        <v/>
      </c>
      <c r="J20" s="310" t="str"/>
      <c r="K20" s="288" t="str"/>
      <c r="L20" s="286">
        <f>IFERROR(K20/F20,0)</f>
        <v/>
      </c>
      <c r="M20" s="288" t="str"/>
      <c r="N20" s="288" t="str"/>
      <c r="O20" s="288" t="str"/>
      <c r="P20" s="288" t="str"/>
      <c r="Q20" s="288" t="str"/>
      <c r="R20" s="288" t="str"/>
      <c r="S20" s="286" t="str"/>
      <c r="T20" s="260" t="str"/>
      <c r="U20" s="260" t="str"/>
      <c r="V20" s="260" t="str"/>
      <c r="W20" s="260" t="str"/>
      <c r="X20" s="260" t="str"/>
      <c r="Y20" s="260" t="str"/>
    </row>
    <row r="21" ht="22" customHeight="1" s="48">
      <c r="A21" s="261" t="str"/>
      <c r="B21" s="261" t="str"/>
      <c r="C21" s="285" t="str"/>
      <c r="D21" s="261" t="str"/>
      <c r="E21" s="261" t="str"/>
      <c r="F21" s="261" t="str"/>
      <c r="G21" s="289" t="str"/>
      <c r="H21" s="289" t="str"/>
      <c r="I21" s="284">
        <f>IFERROR(H21/G21,0)</f>
        <v/>
      </c>
      <c r="J21" s="311" t="str"/>
      <c r="K21" s="289" t="str"/>
      <c r="L21" s="284">
        <f>IFERROR(K21/F21,0)</f>
        <v/>
      </c>
      <c r="M21" s="289" t="str"/>
      <c r="N21" s="289" t="str"/>
      <c r="O21" s="289" t="str"/>
      <c r="P21" s="289" t="str"/>
      <c r="Q21" s="289" t="str"/>
      <c r="R21" s="289" t="str"/>
      <c r="S21" s="284" t="str"/>
      <c r="T21" s="261" t="str"/>
      <c r="U21" s="261" t="str"/>
      <c r="V21" s="261" t="str"/>
      <c r="W21" s="261" t="str"/>
      <c r="X21" s="261" t="str"/>
      <c r="Y21" s="261" t="str"/>
    </row>
    <row r="22" ht="22" customHeight="1" s="48">
      <c r="A22" s="260" t="str"/>
      <c r="B22" s="260" t="str"/>
      <c r="C22" s="287" t="str"/>
      <c r="D22" s="260" t="str"/>
      <c r="E22" s="260" t="str"/>
      <c r="F22" s="260" t="str"/>
      <c r="G22" s="288" t="str"/>
      <c r="H22" s="288" t="str"/>
      <c r="I22" s="286">
        <f>IFERROR(H22/G22,0)</f>
        <v/>
      </c>
      <c r="J22" s="310" t="str"/>
      <c r="K22" s="288" t="str"/>
      <c r="L22" s="286">
        <f>IFERROR(K22/F22,0)</f>
        <v/>
      </c>
      <c r="M22" s="288" t="str"/>
      <c r="N22" s="288" t="str"/>
      <c r="O22" s="288" t="str"/>
      <c r="P22" s="288" t="str"/>
      <c r="Q22" s="288" t="str"/>
      <c r="R22" s="288" t="str"/>
      <c r="S22" s="286" t="str"/>
      <c r="T22" s="260" t="str"/>
      <c r="U22" s="260" t="str"/>
      <c r="V22" s="260" t="str"/>
      <c r="W22" s="260" t="str"/>
      <c r="X22" s="260" t="str"/>
      <c r="Y22" s="260" t="str"/>
    </row>
    <row r="23" ht="22" customHeight="1" s="48">
      <c r="A23" s="261" t="str"/>
      <c r="B23" s="261" t="str"/>
      <c r="C23" s="285" t="str"/>
      <c r="D23" s="261" t="str"/>
      <c r="E23" s="261" t="str"/>
      <c r="F23" s="261" t="str"/>
      <c r="G23" s="289" t="str"/>
      <c r="H23" s="289" t="str"/>
      <c r="I23" s="284">
        <f>IFERROR(H23/G23,0)</f>
        <v/>
      </c>
      <c r="J23" s="311" t="str"/>
      <c r="K23" s="289" t="str"/>
      <c r="L23" s="284">
        <f>IFERROR(K23/F23,0)</f>
        <v/>
      </c>
      <c r="M23" s="289" t="str"/>
      <c r="N23" s="289" t="str"/>
      <c r="O23" s="289" t="str"/>
      <c r="P23" s="289" t="str"/>
      <c r="Q23" s="289" t="str"/>
      <c r="R23" s="289" t="str"/>
      <c r="S23" s="284" t="str"/>
      <c r="T23" s="261" t="str"/>
      <c r="U23" s="261" t="str"/>
      <c r="V23" s="261" t="str"/>
      <c r="W23" s="261" t="str"/>
      <c r="X23" s="261" t="str"/>
      <c r="Y23" s="261" t="str"/>
    </row>
    <row r="24" ht="22" customHeight="1" s="48">
      <c r="A24" s="260" t="str"/>
      <c r="B24" s="260" t="str"/>
      <c r="C24" s="287" t="str"/>
      <c r="D24" s="260" t="str"/>
      <c r="E24" s="260" t="str"/>
      <c r="F24" s="260" t="str"/>
      <c r="G24" s="288" t="str"/>
      <c r="H24" s="288" t="str"/>
      <c r="I24" s="286">
        <f>IFERROR(H24/G24,0)</f>
        <v/>
      </c>
      <c r="J24" s="310" t="str"/>
      <c r="K24" s="288" t="str"/>
      <c r="L24" s="286">
        <f>IFERROR(K24/F24,0)</f>
        <v/>
      </c>
      <c r="M24" s="288" t="str"/>
      <c r="N24" s="288" t="str"/>
      <c r="O24" s="288" t="str"/>
      <c r="P24" s="288" t="str"/>
      <c r="Q24" s="288" t="str"/>
      <c r="R24" s="288" t="str"/>
      <c r="S24" s="286" t="str"/>
      <c r="T24" s="260" t="str"/>
      <c r="U24" s="260" t="str"/>
      <c r="V24" s="260" t="str"/>
      <c r="W24" s="260" t="str"/>
      <c r="X24" s="260" t="str"/>
      <c r="Y24" s="260" t="str"/>
    </row>
    <row r="25" ht="22" customHeight="1" s="48">
      <c r="A25" s="261" t="str"/>
      <c r="B25" s="261" t="str"/>
      <c r="C25" s="285" t="str"/>
      <c r="D25" s="261" t="str"/>
      <c r="E25" s="261" t="str"/>
      <c r="F25" s="261" t="str"/>
      <c r="G25" s="289" t="str"/>
      <c r="H25" s="289" t="str"/>
      <c r="I25" s="284">
        <f>IFERROR(H25/G25,0)</f>
        <v/>
      </c>
      <c r="J25" s="311" t="str"/>
      <c r="K25" s="289" t="str"/>
      <c r="L25" s="284">
        <f>IFERROR(K25/F25,0)</f>
        <v/>
      </c>
      <c r="M25" s="289" t="str"/>
      <c r="N25" s="289" t="str"/>
      <c r="O25" s="289" t="str"/>
      <c r="P25" s="289" t="str"/>
      <c r="Q25" s="289" t="str"/>
      <c r="R25" s="289" t="str"/>
      <c r="S25" s="284" t="str"/>
      <c r="T25" s="261" t="str"/>
      <c r="U25" s="261" t="str"/>
      <c r="V25" s="261" t="str"/>
      <c r="W25" s="261" t="str"/>
      <c r="X25" s="261" t="str"/>
      <c r="Y25" s="261" t="str"/>
    </row>
    <row r="26" ht="22" customHeight="1" s="48">
      <c r="A26" s="260" t="str"/>
      <c r="B26" s="260" t="str"/>
      <c r="C26" s="287" t="str"/>
      <c r="D26" s="260" t="str"/>
      <c r="E26" s="260" t="str"/>
      <c r="F26" s="260" t="str"/>
      <c r="G26" s="288" t="str"/>
      <c r="H26" s="288" t="str"/>
      <c r="I26" s="286">
        <f>IFERROR(H26/G26,0)</f>
        <v/>
      </c>
      <c r="J26" s="310" t="str"/>
      <c r="K26" s="288" t="str"/>
      <c r="L26" s="286">
        <f>IFERROR(K26/F26,0)</f>
        <v/>
      </c>
      <c r="M26" s="288" t="str"/>
      <c r="N26" s="288" t="str"/>
      <c r="O26" s="288" t="str"/>
      <c r="P26" s="288" t="str"/>
      <c r="Q26" s="288" t="str"/>
      <c r="R26" s="288" t="str"/>
      <c r="S26" s="286" t="str"/>
      <c r="T26" s="260" t="str"/>
      <c r="U26" s="260" t="str"/>
      <c r="V26" s="260" t="str"/>
      <c r="W26" s="260" t="str"/>
      <c r="X26" s="260" t="str"/>
      <c r="Y26" s="260" t="str"/>
    </row>
    <row r="27" ht="22" customHeight="1" s="48">
      <c r="A27" s="261" t="str"/>
      <c r="B27" s="261" t="str"/>
      <c r="C27" s="285" t="str"/>
      <c r="D27" s="261" t="str"/>
      <c r="E27" s="261" t="str"/>
      <c r="F27" s="261" t="str"/>
      <c r="G27" s="289" t="str"/>
      <c r="H27" s="289" t="str"/>
      <c r="I27" s="284">
        <f>IFERROR(H27/G27,0)</f>
        <v/>
      </c>
      <c r="J27" s="311" t="str"/>
      <c r="K27" s="289" t="str"/>
      <c r="L27" s="284">
        <f>IFERROR(K27/F27,0)</f>
        <v/>
      </c>
      <c r="M27" s="289" t="str"/>
      <c r="N27" s="289" t="str"/>
      <c r="O27" s="289" t="str"/>
      <c r="P27" s="289" t="str"/>
      <c r="Q27" s="289" t="str"/>
      <c r="R27" s="289" t="str"/>
      <c r="S27" s="284" t="str"/>
      <c r="T27" s="261" t="str"/>
      <c r="U27" s="261" t="str"/>
      <c r="V27" s="261" t="str"/>
      <c r="W27" s="261" t="str"/>
      <c r="X27" s="261" t="str"/>
      <c r="Y27" s="261" t="str"/>
    </row>
    <row r="28" ht="22" customHeight="1" s="48">
      <c r="A28" s="260" t="str"/>
      <c r="B28" s="260" t="str"/>
      <c r="C28" s="287" t="str"/>
      <c r="D28" s="260" t="str"/>
      <c r="E28" s="260" t="str"/>
      <c r="F28" s="260" t="str"/>
      <c r="G28" s="288" t="str"/>
      <c r="H28" s="288" t="str"/>
      <c r="I28" s="286">
        <f>IFERROR(H28/G28,0)</f>
        <v/>
      </c>
      <c r="J28" s="310" t="str"/>
      <c r="K28" s="288" t="str"/>
      <c r="L28" s="286">
        <f>IFERROR(K28/F28,0)</f>
        <v/>
      </c>
      <c r="M28" s="288" t="str"/>
      <c r="N28" s="288" t="str"/>
      <c r="O28" s="288" t="str"/>
      <c r="P28" s="288" t="str"/>
      <c r="Q28" s="288" t="str"/>
      <c r="R28" s="288" t="str"/>
      <c r="S28" s="286" t="str"/>
      <c r="T28" s="260" t="str"/>
      <c r="U28" s="260" t="str"/>
      <c r="V28" s="260" t="str"/>
      <c r="W28" s="260" t="str"/>
      <c r="X28" s="260" t="str"/>
      <c r="Y28" s="260" t="str"/>
    </row>
    <row r="29" ht="22" customHeight="1" s="48">
      <c r="A29" s="261" t="str"/>
      <c r="B29" s="261" t="str"/>
      <c r="C29" s="285" t="str"/>
      <c r="D29" s="261" t="str"/>
      <c r="E29" s="261" t="str"/>
      <c r="F29" s="261" t="str"/>
      <c r="G29" s="289" t="str"/>
      <c r="H29" s="289" t="str"/>
      <c r="I29" s="284">
        <f>IFERROR(H29/G29,0)</f>
        <v/>
      </c>
      <c r="J29" s="311" t="str"/>
      <c r="K29" s="289" t="str"/>
      <c r="L29" s="284">
        <f>IFERROR(K29/F29,0)</f>
        <v/>
      </c>
      <c r="M29" s="289" t="str"/>
      <c r="N29" s="289" t="str"/>
      <c r="O29" s="289" t="str"/>
      <c r="P29" s="289" t="str"/>
      <c r="Q29" s="289" t="str"/>
      <c r="R29" s="289" t="str"/>
      <c r="S29" s="284" t="str"/>
      <c r="T29" s="261" t="str"/>
      <c r="U29" s="261" t="str"/>
      <c r="V29" s="261" t="str"/>
      <c r="W29" s="261" t="str"/>
      <c r="X29" s="261" t="str"/>
      <c r="Y29" s="261" t="str"/>
    </row>
    <row r="30" ht="22" customHeight="1" s="48">
      <c r="A30" s="260" t="str"/>
      <c r="B30" s="260" t="str"/>
      <c r="C30" s="287" t="str"/>
      <c r="D30" s="260" t="str"/>
      <c r="E30" s="260" t="str"/>
      <c r="F30" s="260" t="str"/>
      <c r="G30" s="288" t="str"/>
      <c r="H30" s="288" t="str"/>
      <c r="I30" s="286">
        <f>IFERROR(H30/G30,0)</f>
        <v/>
      </c>
      <c r="J30" s="310" t="str"/>
      <c r="K30" s="288" t="str"/>
      <c r="L30" s="286">
        <f>IFERROR(K30/F30,0)</f>
        <v/>
      </c>
      <c r="M30" s="288" t="str"/>
      <c r="N30" s="288" t="str"/>
      <c r="O30" s="288" t="str"/>
      <c r="P30" s="288" t="str"/>
      <c r="Q30" s="288" t="str"/>
      <c r="R30" s="288" t="str"/>
      <c r="S30" s="286" t="str"/>
      <c r="T30" s="260" t="str"/>
      <c r="U30" s="260" t="str"/>
      <c r="V30" s="260" t="str"/>
      <c r="W30" s="260" t="str"/>
      <c r="X30" s="260" t="str"/>
      <c r="Y30" s="260" t="str"/>
    </row>
    <row r="31" ht="22" customHeight="1" s="48">
      <c r="A31" s="261" t="str"/>
      <c r="B31" s="261" t="str"/>
      <c r="C31" s="285" t="str"/>
      <c r="D31" s="261" t="str"/>
      <c r="E31" s="261" t="str"/>
      <c r="F31" s="261" t="str"/>
      <c r="G31" s="289" t="str"/>
      <c r="H31" s="289" t="str"/>
      <c r="I31" s="284">
        <f>IFERROR(H31/G31,0)</f>
        <v/>
      </c>
      <c r="J31" s="311" t="str"/>
      <c r="K31" s="289" t="str"/>
      <c r="L31" s="284">
        <f>IFERROR(K31/F31,0)</f>
        <v/>
      </c>
      <c r="M31" s="289" t="str"/>
      <c r="N31" s="289" t="str"/>
      <c r="O31" s="289" t="str"/>
      <c r="P31" s="289" t="str"/>
      <c r="Q31" s="289" t="str"/>
      <c r="R31" s="289" t="str"/>
      <c r="S31" s="284" t="str"/>
      <c r="T31" s="261" t="str"/>
      <c r="U31" s="261" t="str"/>
      <c r="V31" s="261" t="str"/>
      <c r="W31" s="261" t="str"/>
      <c r="X31" s="261" t="str"/>
      <c r="Y31" s="261" t="str"/>
    </row>
    <row r="32" ht="22" customHeight="1" s="48">
      <c r="A32" s="260" t="str"/>
      <c r="B32" s="260" t="str"/>
      <c r="C32" s="287" t="str"/>
      <c r="D32" s="260" t="str"/>
      <c r="E32" s="260" t="str"/>
      <c r="F32" s="260" t="str"/>
      <c r="G32" s="288" t="str"/>
      <c r="H32" s="288" t="str"/>
      <c r="I32" s="286">
        <f>IFERROR(H32/G32,0)</f>
        <v/>
      </c>
      <c r="J32" s="310" t="str"/>
      <c r="K32" s="288" t="str"/>
      <c r="L32" s="286">
        <f>IFERROR(K32/F32,0)</f>
        <v/>
      </c>
      <c r="M32" s="288" t="str"/>
      <c r="N32" s="288" t="str"/>
      <c r="O32" s="288" t="str"/>
      <c r="P32" s="288" t="str"/>
      <c r="Q32" s="288" t="str"/>
      <c r="R32" s="288" t="str"/>
      <c r="S32" s="286" t="str"/>
      <c r="T32" s="260" t="str"/>
      <c r="U32" s="260" t="str"/>
      <c r="V32" s="260" t="str"/>
      <c r="W32" s="260" t="str"/>
      <c r="X32" s="260" t="str"/>
      <c r="Y32" s="260" t="str"/>
    </row>
    <row r="33" ht="22" customHeight="1" s="48">
      <c r="A33" s="261" t="str"/>
      <c r="B33" s="261" t="str"/>
      <c r="C33" s="285" t="str"/>
      <c r="D33" s="261" t="str"/>
      <c r="E33" s="261" t="str"/>
      <c r="F33" s="261" t="str"/>
      <c r="G33" s="289" t="str"/>
      <c r="H33" s="289" t="str"/>
      <c r="I33" s="284">
        <f>IFERROR(H33/G33,0)</f>
        <v/>
      </c>
      <c r="J33" s="311" t="str"/>
      <c r="K33" s="289" t="str"/>
      <c r="L33" s="284">
        <f>IFERROR(K33/F33,0)</f>
        <v/>
      </c>
      <c r="M33" s="289" t="str"/>
      <c r="N33" s="289" t="str"/>
      <c r="O33" s="289" t="str"/>
      <c r="P33" s="289" t="str"/>
      <c r="Q33" s="289" t="str"/>
      <c r="R33" s="289" t="str"/>
      <c r="S33" s="284" t="str"/>
      <c r="T33" s="261" t="str"/>
      <c r="U33" s="261" t="str"/>
      <c r="V33" s="261" t="str"/>
      <c r="W33" s="261" t="str"/>
      <c r="X33" s="261" t="str"/>
      <c r="Y33" s="261" t="str"/>
    </row>
    <row r="34" ht="22" customHeight="1" s="48">
      <c r="A34" s="260" t="str"/>
      <c r="B34" s="260" t="str"/>
      <c r="C34" s="287" t="str"/>
      <c r="D34" s="260" t="str"/>
      <c r="E34" s="260" t="str"/>
      <c r="F34" s="260" t="str"/>
      <c r="G34" s="288" t="str"/>
      <c r="H34" s="288" t="str"/>
      <c r="I34" s="286">
        <f>IFERROR(H34/G34,0)</f>
        <v/>
      </c>
      <c r="J34" s="310" t="str"/>
      <c r="K34" s="288" t="str"/>
      <c r="L34" s="286">
        <f>IFERROR(K34/F34,0)</f>
        <v/>
      </c>
      <c r="M34" s="288" t="str"/>
      <c r="N34" s="288" t="str"/>
      <c r="O34" s="288" t="str"/>
      <c r="P34" s="288" t="str"/>
      <c r="Q34" s="288" t="str"/>
      <c r="R34" s="288" t="str"/>
      <c r="S34" s="286" t="str"/>
      <c r="T34" s="260" t="str"/>
      <c r="U34" s="260" t="str"/>
      <c r="V34" s="260" t="str"/>
      <c r="W34" s="260" t="str"/>
      <c r="X34" s="260" t="str"/>
      <c r="Y34" s="260" t="str"/>
    </row>
    <row r="35" ht="22" customHeight="1" s="48">
      <c r="A35" s="261" t="str"/>
      <c r="B35" s="261" t="str"/>
      <c r="C35" s="285" t="str"/>
      <c r="D35" s="261" t="str"/>
      <c r="E35" s="261" t="str"/>
      <c r="F35" s="261" t="str"/>
      <c r="G35" s="289" t="str"/>
      <c r="H35" s="289" t="str"/>
      <c r="I35" s="284">
        <f>IFERROR(H35/G35,0)</f>
        <v/>
      </c>
      <c r="J35" s="311" t="str"/>
      <c r="K35" s="289" t="str"/>
      <c r="L35" s="284">
        <f>IFERROR(K35/F35,0)</f>
        <v/>
      </c>
      <c r="M35" s="289" t="str"/>
      <c r="N35" s="289" t="str"/>
      <c r="O35" s="289" t="str"/>
      <c r="P35" s="289" t="str"/>
      <c r="Q35" s="289" t="str"/>
      <c r="R35" s="289" t="str"/>
      <c r="S35" s="284" t="str"/>
      <c r="T35" s="261" t="str"/>
      <c r="U35" s="261" t="str"/>
      <c r="V35" s="261" t="str"/>
      <c r="W35" s="261" t="str"/>
      <c r="X35" s="261" t="str"/>
      <c r="Y35" s="261" t="str"/>
    </row>
    <row r="36" ht="22" customHeight="1" s="48">
      <c r="A36" s="260" t="str"/>
      <c r="B36" s="260" t="str"/>
      <c r="C36" s="287" t="str"/>
      <c r="D36" s="260" t="str"/>
      <c r="E36" s="260" t="str"/>
      <c r="F36" s="260" t="str"/>
      <c r="G36" s="288" t="str"/>
      <c r="H36" s="288" t="str"/>
      <c r="I36" s="286">
        <f>IFERROR(H36/G36,0)</f>
        <v/>
      </c>
      <c r="J36" s="310" t="str"/>
      <c r="K36" s="288" t="str"/>
      <c r="L36" s="286">
        <f>IFERROR(K36/F36,0)</f>
        <v/>
      </c>
      <c r="M36" s="288" t="str"/>
      <c r="N36" s="288" t="str"/>
      <c r="O36" s="288" t="str"/>
      <c r="P36" s="288" t="str"/>
      <c r="Q36" s="288" t="str"/>
      <c r="R36" s="288" t="str"/>
      <c r="S36" s="286" t="str"/>
      <c r="T36" s="260" t="str"/>
      <c r="U36" s="260" t="str"/>
      <c r="V36" s="260" t="str"/>
      <c r="W36" s="260" t="str"/>
      <c r="X36" s="260" t="str"/>
      <c r="Y36" s="260" t="str"/>
    </row>
    <row r="37" ht="22" customHeight="1" s="48">
      <c r="A37" s="261" t="str"/>
      <c r="B37" s="261" t="str"/>
      <c r="C37" s="285" t="str"/>
      <c r="D37" s="261" t="str"/>
      <c r="E37" s="261" t="str"/>
      <c r="F37" s="261" t="str"/>
      <c r="G37" s="289" t="str"/>
      <c r="H37" s="289" t="str"/>
      <c r="I37" s="284">
        <f>IFERROR(H37/G37,0)</f>
        <v/>
      </c>
      <c r="J37" s="311" t="str"/>
      <c r="K37" s="289" t="str"/>
      <c r="L37" s="284">
        <f>IFERROR(K37/F37,0)</f>
        <v/>
      </c>
      <c r="M37" s="289" t="str"/>
      <c r="N37" s="289" t="str"/>
      <c r="O37" s="289" t="str"/>
      <c r="P37" s="289" t="str"/>
      <c r="Q37" s="289" t="str"/>
      <c r="R37" s="289" t="str"/>
      <c r="S37" s="284" t="str"/>
      <c r="T37" s="261" t="str"/>
      <c r="U37" s="261" t="str"/>
      <c r="V37" s="261" t="str"/>
      <c r="W37" s="261" t="str"/>
      <c r="X37" s="261" t="str"/>
      <c r="Y37" s="261" t="str"/>
    </row>
    <row r="38" ht="22" customHeight="1" s="48">
      <c r="A38" s="260" t="str"/>
      <c r="B38" s="260" t="str"/>
      <c r="C38" s="287" t="str"/>
      <c r="D38" s="260" t="str"/>
      <c r="E38" s="260" t="str"/>
      <c r="F38" s="260" t="str"/>
      <c r="G38" s="288" t="str"/>
      <c r="H38" s="288" t="str"/>
      <c r="I38" s="286">
        <f>IFERROR(H38/G38,0)</f>
        <v/>
      </c>
      <c r="J38" s="310" t="str"/>
      <c r="K38" s="288" t="str"/>
      <c r="L38" s="286">
        <f>IFERROR(K38/F38,0)</f>
        <v/>
      </c>
      <c r="M38" s="288" t="str"/>
      <c r="N38" s="288" t="str"/>
      <c r="O38" s="288" t="str"/>
      <c r="P38" s="288" t="str"/>
      <c r="Q38" s="288" t="str"/>
      <c r="R38" s="288" t="str"/>
      <c r="S38" s="286" t="str"/>
      <c r="T38" s="260" t="str"/>
      <c r="U38" s="260" t="str"/>
      <c r="V38" s="260" t="str"/>
      <c r="W38" s="260" t="str"/>
      <c r="X38" s="260" t="str"/>
      <c r="Y38" s="260" t="str"/>
    </row>
    <row r="39" ht="22" customHeight="1" s="48">
      <c r="A39" s="261" t="str"/>
      <c r="B39" s="261" t="str"/>
      <c r="C39" s="285" t="str"/>
      <c r="D39" s="261" t="str"/>
      <c r="E39" s="261" t="str"/>
      <c r="F39" s="261" t="str"/>
      <c r="G39" s="289" t="str"/>
      <c r="H39" s="289" t="str"/>
      <c r="I39" s="284">
        <f>IFERROR(H39/G39,0)</f>
        <v/>
      </c>
      <c r="J39" s="311" t="str"/>
      <c r="K39" s="289" t="str"/>
      <c r="L39" s="284">
        <f>IFERROR(K39/F39,0)</f>
        <v/>
      </c>
      <c r="M39" s="289" t="str"/>
      <c r="N39" s="289" t="str"/>
      <c r="O39" s="289" t="str"/>
      <c r="P39" s="289" t="str"/>
      <c r="Q39" s="289" t="str"/>
      <c r="R39" s="289" t="str"/>
      <c r="S39" s="284" t="str"/>
      <c r="T39" s="261" t="str"/>
      <c r="U39" s="261" t="str"/>
      <c r="V39" s="261" t="str"/>
      <c r="W39" s="261" t="str"/>
      <c r="X39" s="261" t="str"/>
      <c r="Y39" s="261" t="str"/>
    </row>
    <row r="40" ht="22" customHeight="1" s="48">
      <c r="A40" s="260" t="str"/>
      <c r="B40" s="260" t="str"/>
      <c r="C40" s="287" t="str"/>
      <c r="D40" s="260" t="str"/>
      <c r="E40" s="260" t="str"/>
      <c r="F40" s="260" t="str"/>
      <c r="G40" s="288" t="str"/>
      <c r="H40" s="288" t="str"/>
      <c r="I40" s="286">
        <f>IFERROR(H40/G40,0)</f>
        <v/>
      </c>
      <c r="J40" s="310" t="str"/>
      <c r="K40" s="288" t="str"/>
      <c r="L40" s="286">
        <f>IFERROR(K40/F40,0)</f>
        <v/>
      </c>
      <c r="M40" s="288" t="str"/>
      <c r="N40" s="288" t="str"/>
      <c r="O40" s="288" t="str"/>
      <c r="P40" s="288" t="str"/>
      <c r="Q40" s="288" t="str"/>
      <c r="R40" s="288" t="str"/>
      <c r="S40" s="286" t="str"/>
      <c r="T40" s="260" t="str"/>
      <c r="U40" s="260" t="str"/>
      <c r="V40" s="260" t="str"/>
      <c r="W40" s="260" t="str"/>
      <c r="X40" s="260" t="str"/>
      <c r="Y40" s="260" t="str"/>
    </row>
    <row r="41" ht="22" customHeight="1" s="48">
      <c r="A41" s="261" t="str"/>
      <c r="B41" s="261" t="str"/>
      <c r="C41" s="285" t="str"/>
      <c r="D41" s="261" t="str"/>
      <c r="E41" s="261" t="str"/>
      <c r="F41" s="261" t="str"/>
      <c r="G41" s="289" t="str"/>
      <c r="H41" s="289" t="str"/>
      <c r="I41" s="284">
        <f>IFERROR(H41/G41,0)</f>
        <v/>
      </c>
      <c r="J41" s="311" t="str"/>
      <c r="K41" s="289" t="str"/>
      <c r="L41" s="284">
        <f>IFERROR(K41/F41,0)</f>
        <v/>
      </c>
      <c r="M41" s="289" t="str"/>
      <c r="N41" s="289" t="str"/>
      <c r="O41" s="289" t="str"/>
      <c r="P41" s="289" t="str"/>
      <c r="Q41" s="289" t="str"/>
      <c r="R41" s="289" t="str"/>
      <c r="S41" s="284" t="str"/>
      <c r="T41" s="261" t="str"/>
      <c r="U41" s="261" t="str"/>
      <c r="V41" s="261" t="str"/>
      <c r="W41" s="261" t="str"/>
      <c r="X41" s="261" t="str"/>
      <c r="Y41" s="261" t="str"/>
    </row>
    <row r="42" ht="22" customHeight="1" s="48">
      <c r="A42" s="260" t="str"/>
      <c r="B42" s="260" t="str"/>
      <c r="C42" s="287" t="str"/>
      <c r="D42" s="260" t="str"/>
      <c r="E42" s="260" t="str"/>
      <c r="F42" s="260" t="str"/>
      <c r="G42" s="288" t="str"/>
      <c r="H42" s="288" t="str"/>
      <c r="I42" s="286">
        <f>IFERROR(H42/G42,0)</f>
        <v/>
      </c>
      <c r="J42" s="310" t="str"/>
      <c r="K42" s="288" t="str"/>
      <c r="L42" s="286">
        <f>IFERROR(K42/F42,0)</f>
        <v/>
      </c>
      <c r="M42" s="288" t="str"/>
      <c r="N42" s="288" t="str"/>
      <c r="O42" s="288" t="str"/>
      <c r="P42" s="288" t="str"/>
      <c r="Q42" s="288" t="str"/>
      <c r="R42" s="288" t="str"/>
      <c r="S42" s="286" t="str"/>
      <c r="T42" s="260" t="str"/>
      <c r="U42" s="260" t="str"/>
      <c r="V42" s="260" t="str"/>
      <c r="W42" s="260" t="str"/>
      <c r="X42" s="260" t="str"/>
      <c r="Y42" s="260" t="str"/>
    </row>
    <row r="43" ht="22" customHeight="1" s="48">
      <c r="A43" s="261" t="str"/>
      <c r="B43" s="261" t="str"/>
      <c r="C43" s="285" t="str"/>
      <c r="D43" s="261" t="str"/>
      <c r="E43" s="261" t="str"/>
      <c r="F43" s="261" t="str"/>
      <c r="G43" s="289" t="str"/>
      <c r="H43" s="289" t="str"/>
      <c r="I43" s="284">
        <f>IFERROR(H43/G43,0)</f>
        <v/>
      </c>
      <c r="J43" s="311" t="str"/>
      <c r="K43" s="289" t="str"/>
      <c r="L43" s="284">
        <f>IFERROR(K43/F43,0)</f>
        <v/>
      </c>
      <c r="M43" s="289" t="str"/>
      <c r="N43" s="289" t="str"/>
      <c r="O43" s="289" t="str"/>
      <c r="P43" s="289" t="str"/>
      <c r="Q43" s="289" t="str"/>
      <c r="R43" s="289" t="str"/>
      <c r="S43" s="284" t="str"/>
      <c r="T43" s="261" t="str"/>
      <c r="U43" s="261" t="str"/>
      <c r="V43" s="261" t="str"/>
      <c r="W43" s="261" t="str"/>
      <c r="X43" s="261" t="str"/>
      <c r="Y43" s="261" t="str"/>
    </row>
    <row r="44" ht="22" customHeight="1" s="48">
      <c r="A44" s="260" t="str"/>
      <c r="B44" s="260" t="str"/>
      <c r="C44" s="287" t="str"/>
      <c r="D44" s="260" t="str"/>
      <c r="E44" s="260" t="str"/>
      <c r="F44" s="260" t="str"/>
      <c r="G44" s="288" t="str"/>
      <c r="H44" s="288" t="str"/>
      <c r="I44" s="286">
        <f>IFERROR(H44/G44,0)</f>
        <v/>
      </c>
      <c r="J44" s="310" t="str"/>
      <c r="K44" s="288" t="str"/>
      <c r="L44" s="286">
        <f>IFERROR(K44/F44,0)</f>
        <v/>
      </c>
      <c r="M44" s="288" t="str"/>
      <c r="N44" s="288" t="str"/>
      <c r="O44" s="288" t="str"/>
      <c r="P44" s="288" t="str"/>
      <c r="Q44" s="288" t="str"/>
      <c r="R44" s="288" t="str"/>
      <c r="S44" s="286" t="str"/>
      <c r="T44" s="260" t="str"/>
      <c r="U44" s="260" t="str"/>
      <c r="V44" s="260" t="str"/>
      <c r="W44" s="260" t="str"/>
      <c r="X44" s="260" t="str"/>
      <c r="Y44" s="260" t="str"/>
    </row>
    <row r="45" ht="22" customHeight="1" s="48">
      <c r="A45" s="261" t="str"/>
      <c r="B45" s="261" t="str"/>
      <c r="C45" s="285" t="str"/>
      <c r="D45" s="261" t="str"/>
      <c r="E45" s="261" t="str"/>
      <c r="F45" s="261" t="str"/>
      <c r="G45" s="289" t="str"/>
      <c r="H45" s="289" t="str"/>
      <c r="I45" s="284">
        <f>IFERROR(H45/G45,0)</f>
        <v/>
      </c>
      <c r="J45" s="311" t="str"/>
      <c r="K45" s="289" t="str"/>
      <c r="L45" s="284">
        <f>IFERROR(K45/F45,0)</f>
        <v/>
      </c>
      <c r="M45" s="289" t="str"/>
      <c r="N45" s="289" t="str"/>
      <c r="O45" s="289" t="str"/>
      <c r="P45" s="289" t="str"/>
      <c r="Q45" s="289" t="str"/>
      <c r="R45" s="289" t="str"/>
      <c r="S45" s="284" t="str"/>
      <c r="T45" s="261" t="str"/>
      <c r="U45" s="261" t="str"/>
      <c r="V45" s="261" t="str"/>
      <c r="W45" s="261" t="str"/>
      <c r="X45" s="261" t="str"/>
      <c r="Y45" s="261" t="str"/>
    </row>
    <row r="46" ht="22" customHeight="1" s="48">
      <c r="A46" s="260" t="str"/>
      <c r="B46" s="260" t="str"/>
      <c r="C46" s="287" t="str"/>
      <c r="D46" s="260" t="str"/>
      <c r="E46" s="260" t="str"/>
      <c r="F46" s="260" t="str"/>
      <c r="G46" s="288" t="str"/>
      <c r="H46" s="288" t="str"/>
      <c r="I46" s="286">
        <f>IFERROR(H46/G46,0)</f>
        <v/>
      </c>
      <c r="J46" s="310" t="str"/>
      <c r="K46" s="288" t="str"/>
      <c r="L46" s="286">
        <f>IFERROR(K46/F46,0)</f>
        <v/>
      </c>
      <c r="M46" s="288" t="str"/>
      <c r="N46" s="288" t="str"/>
      <c r="O46" s="288" t="str"/>
      <c r="P46" s="288" t="str"/>
      <c r="Q46" s="288" t="str"/>
      <c r="R46" s="288" t="str"/>
      <c r="S46" s="286" t="str"/>
      <c r="T46" s="260" t="str"/>
      <c r="U46" s="260" t="str"/>
      <c r="V46" s="260" t="str"/>
      <c r="W46" s="260" t="str"/>
      <c r="X46" s="260" t="str"/>
      <c r="Y46" s="260" t="str"/>
    </row>
    <row r="47" ht="22" customHeight="1" s="48">
      <c r="A47" s="261" t="str"/>
      <c r="B47" s="261" t="str"/>
      <c r="C47" s="285" t="str"/>
      <c r="D47" s="261" t="str"/>
      <c r="E47" s="261" t="str"/>
      <c r="F47" s="261" t="str"/>
      <c r="G47" s="289" t="str"/>
      <c r="H47" s="289" t="str"/>
      <c r="I47" s="284">
        <f>IFERROR(H47/G47,0)</f>
        <v/>
      </c>
      <c r="J47" s="311" t="str"/>
      <c r="K47" s="289" t="str"/>
      <c r="L47" s="284">
        <f>IFERROR(K47/F47,0)</f>
        <v/>
      </c>
      <c r="M47" s="289" t="str"/>
      <c r="N47" s="289" t="str"/>
      <c r="O47" s="289" t="str"/>
      <c r="P47" s="289" t="str"/>
      <c r="Q47" s="289" t="str"/>
      <c r="R47" s="289" t="str"/>
      <c r="S47" s="284" t="str"/>
      <c r="T47" s="261" t="str"/>
      <c r="U47" s="261" t="str"/>
      <c r="V47" s="261" t="str"/>
      <c r="W47" s="261" t="str"/>
      <c r="X47" s="261" t="str"/>
      <c r="Y47" s="261" t="str"/>
    </row>
    <row r="48" ht="22" customHeight="1" s="48">
      <c r="A48" s="260" t="str"/>
      <c r="B48" s="260" t="str"/>
      <c r="C48" s="287" t="str"/>
      <c r="D48" s="260" t="str"/>
      <c r="E48" s="260" t="str"/>
      <c r="F48" s="260" t="str"/>
      <c r="G48" s="288" t="str"/>
      <c r="H48" s="288" t="str"/>
      <c r="I48" s="286">
        <f>IFERROR(H48/G48,0)</f>
        <v/>
      </c>
      <c r="J48" s="310" t="str"/>
      <c r="K48" s="288" t="str"/>
      <c r="L48" s="286">
        <f>IFERROR(K48/F48,0)</f>
        <v/>
      </c>
      <c r="M48" s="288" t="str"/>
      <c r="N48" s="288" t="str"/>
      <c r="O48" s="288" t="str"/>
      <c r="P48" s="288" t="str"/>
      <c r="Q48" s="288" t="str"/>
      <c r="R48" s="288" t="str"/>
      <c r="S48" s="286" t="str"/>
      <c r="T48" s="260" t="str"/>
      <c r="U48" s="260" t="str"/>
      <c r="V48" s="260" t="str"/>
      <c r="W48" s="260" t="str"/>
      <c r="X48" s="260" t="str"/>
      <c r="Y48" s="260" t="str"/>
    </row>
    <row r="49" ht="22" customHeight="1" s="48">
      <c r="A49" s="261" t="str"/>
      <c r="B49" s="261" t="str"/>
      <c r="C49" s="285" t="str"/>
      <c r="D49" s="261" t="str"/>
      <c r="E49" s="261" t="str"/>
      <c r="F49" s="261" t="str"/>
      <c r="G49" s="289" t="str"/>
      <c r="H49" s="289" t="str"/>
      <c r="I49" s="284">
        <f>IFERROR(H49/G49,0)</f>
        <v/>
      </c>
      <c r="J49" s="311" t="str"/>
      <c r="K49" s="289" t="str"/>
      <c r="L49" s="284">
        <f>IFERROR(K49/F49,0)</f>
        <v/>
      </c>
      <c r="M49" s="289" t="str"/>
      <c r="N49" s="289" t="str"/>
      <c r="O49" s="289" t="str"/>
      <c r="P49" s="289" t="str"/>
      <c r="Q49" s="289" t="str"/>
      <c r="R49" s="289" t="str"/>
      <c r="S49" s="284" t="str"/>
      <c r="T49" s="261" t="str"/>
      <c r="U49" s="261" t="str"/>
      <c r="V49" s="261" t="str"/>
      <c r="W49" s="261" t="str"/>
      <c r="X49" s="261" t="str"/>
      <c r="Y49" s="261" t="str"/>
    </row>
    <row r="50" ht="22" customHeight="1" s="48">
      <c r="A50" s="260" t="str"/>
      <c r="B50" s="260" t="str"/>
      <c r="C50" s="287" t="str"/>
      <c r="D50" s="260" t="str"/>
      <c r="E50" s="260" t="str"/>
      <c r="F50" s="260" t="str"/>
      <c r="G50" s="288" t="str"/>
      <c r="H50" s="288" t="str"/>
      <c r="I50" s="286">
        <f>IFERROR(H50/G50,0)</f>
        <v/>
      </c>
      <c r="J50" s="310" t="str"/>
      <c r="K50" s="288" t="str"/>
      <c r="L50" s="286">
        <f>IFERROR(K50/F50,0)</f>
        <v/>
      </c>
      <c r="M50" s="288" t="str"/>
      <c r="N50" s="288" t="str"/>
      <c r="O50" s="288" t="str"/>
      <c r="P50" s="288" t="str"/>
      <c r="Q50" s="288" t="str"/>
      <c r="R50" s="288" t="str"/>
      <c r="S50" s="286" t="str"/>
      <c r="T50" s="260" t="str"/>
      <c r="U50" s="260" t="str"/>
      <c r="V50" s="260" t="str"/>
      <c r="W50" s="260" t="str"/>
      <c r="X50" s="260" t="str"/>
      <c r="Y50" s="260" t="str"/>
    </row>
    <row r="51" ht="22" customHeight="1" s="48">
      <c r="A51" s="261" t="str"/>
      <c r="B51" s="261" t="str"/>
      <c r="C51" s="285" t="str"/>
      <c r="D51" s="261" t="str"/>
      <c r="E51" s="261" t="str"/>
      <c r="F51" s="261" t="str"/>
      <c r="G51" s="289" t="str"/>
      <c r="H51" s="289" t="str"/>
      <c r="I51" s="284">
        <f>IFERROR(H51/G51,0)</f>
        <v/>
      </c>
      <c r="J51" s="311" t="str"/>
      <c r="K51" s="289" t="str"/>
      <c r="L51" s="284">
        <f>IFERROR(K51/F51,0)</f>
        <v/>
      </c>
      <c r="M51" s="289" t="str"/>
      <c r="N51" s="289" t="str"/>
      <c r="O51" s="289" t="str"/>
      <c r="P51" s="289" t="str"/>
      <c r="Q51" s="289" t="str"/>
      <c r="R51" s="289" t="str"/>
      <c r="S51" s="284" t="str"/>
      <c r="T51" s="261" t="str"/>
      <c r="U51" s="261" t="str"/>
      <c r="V51" s="261" t="str"/>
      <c r="W51" s="261" t="str"/>
      <c r="X51" s="261" t="str"/>
      <c r="Y51" s="261" t="str"/>
    </row>
    <row r="52" ht="22" customHeight="1" s="48">
      <c r="A52" s="260" t="str"/>
      <c r="B52" s="260" t="str"/>
      <c r="C52" s="287" t="str"/>
      <c r="D52" s="260" t="str"/>
      <c r="E52" s="260" t="str"/>
      <c r="F52" s="260" t="str"/>
      <c r="G52" s="288" t="str"/>
      <c r="H52" s="288" t="str"/>
      <c r="I52" s="286">
        <f>IFERROR(H52/G52,0)</f>
        <v/>
      </c>
      <c r="J52" s="310" t="str"/>
      <c r="K52" s="288" t="str"/>
      <c r="L52" s="286">
        <f>IFERROR(K52/F52,0)</f>
        <v/>
      </c>
      <c r="M52" s="288" t="str"/>
      <c r="N52" s="288" t="str"/>
      <c r="O52" s="288" t="str"/>
      <c r="P52" s="288" t="str"/>
      <c r="Q52" s="288" t="str"/>
      <c r="R52" s="288" t="str"/>
      <c r="S52" s="286" t="str"/>
      <c r="T52" s="260" t="str"/>
      <c r="U52" s="260" t="str"/>
      <c r="V52" s="260" t="str"/>
      <c r="W52" s="260" t="str"/>
      <c r="X52" s="260" t="str"/>
      <c r="Y52" s="260" t="str"/>
    </row>
    <row r="53" ht="22" customHeight="1" s="48">
      <c r="A53" s="261" t="str"/>
      <c r="B53" s="261" t="str"/>
      <c r="C53" s="285" t="str"/>
      <c r="D53" s="261" t="str"/>
      <c r="E53" s="261" t="str"/>
      <c r="F53" s="261" t="str"/>
      <c r="G53" s="289" t="str"/>
      <c r="H53" s="289" t="str"/>
      <c r="I53" s="284">
        <f>IFERROR(H53/G53,0)</f>
        <v/>
      </c>
      <c r="J53" s="311" t="str"/>
      <c r="K53" s="289" t="str"/>
      <c r="L53" s="284">
        <f>IFERROR(K53/F53,0)</f>
        <v/>
      </c>
      <c r="M53" s="289" t="str"/>
      <c r="N53" s="289" t="str"/>
      <c r="O53" s="289" t="str"/>
      <c r="P53" s="289" t="str"/>
      <c r="Q53" s="289" t="str"/>
      <c r="R53" s="289" t="str"/>
      <c r="S53" s="284" t="str"/>
      <c r="T53" s="261" t="str"/>
      <c r="U53" s="261" t="str"/>
      <c r="V53" s="261" t="str"/>
      <c r="W53" s="261" t="str"/>
      <c r="X53" s="261" t="str"/>
      <c r="Y53" s="261" t="str"/>
    </row>
    <row r="54" ht="22" customHeight="1" s="48">
      <c r="A54" s="260" t="str"/>
      <c r="B54" s="260" t="str"/>
      <c r="C54" s="287" t="str"/>
      <c r="D54" s="260" t="str"/>
      <c r="E54" s="260" t="str"/>
      <c r="F54" s="260" t="str"/>
      <c r="G54" s="288" t="str"/>
      <c r="H54" s="288" t="str"/>
      <c r="I54" s="286">
        <f>IFERROR(H54/G54,0)</f>
        <v/>
      </c>
      <c r="J54" s="310" t="str"/>
      <c r="K54" s="288" t="str"/>
      <c r="L54" s="286">
        <f>IFERROR(K54/F54,0)</f>
        <v/>
      </c>
      <c r="M54" s="288" t="str"/>
      <c r="N54" s="288" t="str"/>
      <c r="O54" s="288" t="str"/>
      <c r="P54" s="288" t="str"/>
      <c r="Q54" s="288" t="str"/>
      <c r="R54" s="288" t="str"/>
      <c r="S54" s="286" t="str"/>
      <c r="T54" s="260" t="str"/>
      <c r="U54" s="260" t="str"/>
      <c r="V54" s="260" t="str"/>
      <c r="W54" s="260" t="str"/>
      <c r="X54" s="260" t="str"/>
      <c r="Y54" s="260" t="str"/>
    </row>
    <row r="55" ht="22" customHeight="1" s="48">
      <c r="A55" s="261" t="str"/>
      <c r="B55" s="261" t="str"/>
      <c r="C55" s="285" t="str"/>
      <c r="D55" s="261" t="str"/>
      <c r="E55" s="261" t="str"/>
      <c r="F55" s="261" t="str"/>
      <c r="G55" s="289" t="str"/>
      <c r="H55" s="289" t="str"/>
      <c r="I55" s="284">
        <f>IFERROR(H55/G55,0)</f>
        <v/>
      </c>
      <c r="J55" s="311" t="str"/>
      <c r="K55" s="289" t="str"/>
      <c r="L55" s="284">
        <f>IFERROR(K55/F55,0)</f>
        <v/>
      </c>
      <c r="M55" s="289" t="str"/>
      <c r="N55" s="289" t="str"/>
      <c r="O55" s="289" t="str"/>
      <c r="P55" s="289" t="str"/>
      <c r="Q55" s="289" t="str"/>
      <c r="R55" s="289" t="str"/>
      <c r="S55" s="284" t="str"/>
      <c r="T55" s="261" t="str"/>
      <c r="U55" s="261" t="str"/>
      <c r="V55" s="261" t="str"/>
      <c r="W55" s="261" t="str"/>
      <c r="X55" s="261" t="str"/>
      <c r="Y55" s="261" t="str"/>
    </row>
    <row r="56" ht="22" customHeight="1" s="48">
      <c r="A56" s="260" t="str"/>
      <c r="B56" s="260" t="str"/>
      <c r="C56" s="287" t="str"/>
      <c r="D56" s="260" t="str"/>
      <c r="E56" s="260" t="str"/>
      <c r="F56" s="260" t="str"/>
      <c r="G56" s="288" t="str"/>
      <c r="H56" s="288" t="str"/>
      <c r="I56" s="286">
        <f>IFERROR(H56/G56,0)</f>
        <v/>
      </c>
      <c r="J56" s="310" t="str"/>
      <c r="K56" s="288" t="str"/>
      <c r="L56" s="286">
        <f>IFERROR(K56/F56,0)</f>
        <v/>
      </c>
      <c r="M56" s="288" t="str"/>
      <c r="N56" s="288" t="str"/>
      <c r="O56" s="288" t="str"/>
      <c r="P56" s="288" t="str"/>
      <c r="Q56" s="288" t="str"/>
      <c r="R56" s="288" t="str"/>
      <c r="S56" s="286" t="str"/>
      <c r="T56" s="260" t="str"/>
      <c r="U56" s="260" t="str"/>
      <c r="V56" s="260" t="str"/>
      <c r="W56" s="260" t="str"/>
      <c r="X56" s="260" t="str"/>
      <c r="Y56" s="260" t="str"/>
    </row>
    <row r="57" ht="22" customHeight="1" s="48">
      <c r="A57" s="261" t="str"/>
      <c r="B57" s="261" t="str"/>
      <c r="C57" s="285" t="str"/>
      <c r="D57" s="261" t="str"/>
      <c r="E57" s="261" t="str"/>
      <c r="F57" s="261" t="str"/>
      <c r="G57" s="289" t="str"/>
      <c r="H57" s="289" t="str"/>
      <c r="I57" s="284">
        <f>IFERROR(H57/G57,0)</f>
        <v/>
      </c>
      <c r="J57" s="311" t="str"/>
      <c r="K57" s="289" t="str"/>
      <c r="L57" s="284">
        <f>IFERROR(K57/F57,0)</f>
        <v/>
      </c>
      <c r="M57" s="289" t="str"/>
      <c r="N57" s="289" t="str"/>
      <c r="O57" s="289" t="str"/>
      <c r="P57" s="289" t="str"/>
      <c r="Q57" s="289" t="str"/>
      <c r="R57" s="289" t="str"/>
      <c r="S57" s="284" t="str"/>
      <c r="T57" s="261" t="str"/>
      <c r="U57" s="261" t="str"/>
      <c r="V57" s="261" t="str"/>
      <c r="W57" s="261" t="str"/>
      <c r="X57" s="261" t="str"/>
      <c r="Y57" s="261" t="str"/>
    </row>
    <row r="58" ht="22" customHeight="1" s="48">
      <c r="A58" s="260" t="str"/>
      <c r="B58" s="260" t="str"/>
      <c r="C58" s="287" t="str"/>
      <c r="D58" s="260" t="str"/>
      <c r="E58" s="260" t="str"/>
      <c r="F58" s="260" t="str"/>
      <c r="G58" s="288" t="str"/>
      <c r="H58" s="288" t="str"/>
      <c r="I58" s="286">
        <f>IFERROR(H58/G58,0)</f>
        <v/>
      </c>
      <c r="J58" s="310" t="str"/>
      <c r="K58" s="288" t="str"/>
      <c r="L58" s="286">
        <f>IFERROR(K58/F58,0)</f>
        <v/>
      </c>
      <c r="M58" s="288" t="str"/>
      <c r="N58" s="288" t="str"/>
      <c r="O58" s="288" t="str"/>
      <c r="P58" s="288" t="str"/>
      <c r="Q58" s="288" t="str"/>
      <c r="R58" s="288" t="str"/>
      <c r="S58" s="286" t="str"/>
      <c r="T58" s="260" t="str"/>
      <c r="U58" s="260" t="str"/>
      <c r="V58" s="260" t="str"/>
      <c r="W58" s="260" t="str"/>
      <c r="X58" s="260" t="str"/>
      <c r="Y58" s="260" t="str"/>
    </row>
    <row r="59" ht="22" customHeight="1" s="48">
      <c r="A59" s="261" t="str"/>
      <c r="B59" s="261" t="str"/>
      <c r="C59" s="285" t="str"/>
      <c r="D59" s="261" t="str"/>
      <c r="E59" s="261" t="str"/>
      <c r="F59" s="261" t="str"/>
      <c r="G59" s="289" t="str"/>
      <c r="H59" s="289" t="str"/>
      <c r="I59" s="284">
        <f>IFERROR(H59/G59,0)</f>
        <v/>
      </c>
      <c r="J59" s="311" t="str"/>
      <c r="K59" s="289" t="str"/>
      <c r="L59" s="284">
        <f>IFERROR(K59/F59,0)</f>
        <v/>
      </c>
      <c r="M59" s="289" t="str"/>
      <c r="N59" s="289" t="str"/>
      <c r="O59" s="289" t="str"/>
      <c r="P59" s="289" t="str"/>
      <c r="Q59" s="289" t="str"/>
      <c r="R59" s="289" t="str"/>
      <c r="S59" s="284" t="str"/>
      <c r="T59" s="261" t="str"/>
      <c r="U59" s="261" t="str"/>
      <c r="V59" s="261" t="str"/>
      <c r="W59" s="261" t="str"/>
      <c r="X59" s="261" t="str"/>
      <c r="Y59" s="261" t="str"/>
    </row>
    <row r="60" ht="22" customHeight="1" s="48">
      <c r="A60" s="260" t="str"/>
      <c r="B60" s="260" t="str"/>
      <c r="C60" s="287" t="str"/>
      <c r="D60" s="260" t="str"/>
      <c r="E60" s="260" t="str"/>
      <c r="F60" s="260" t="str"/>
      <c r="G60" s="288" t="str"/>
      <c r="H60" s="288" t="str"/>
      <c r="I60" s="286">
        <f>IFERROR(H60/G60,0)</f>
        <v/>
      </c>
      <c r="J60" s="310" t="str"/>
      <c r="K60" s="288" t="str"/>
      <c r="L60" s="286">
        <f>IFERROR(K60/F60,0)</f>
        <v/>
      </c>
      <c r="M60" s="288" t="str"/>
      <c r="N60" s="288" t="str"/>
      <c r="O60" s="288" t="str"/>
      <c r="P60" s="288" t="str"/>
      <c r="Q60" s="288" t="str"/>
      <c r="R60" s="288" t="str"/>
      <c r="S60" s="286" t="str"/>
      <c r="T60" s="260" t="str"/>
      <c r="U60" s="260" t="str"/>
      <c r="V60" s="260" t="str"/>
      <c r="W60" s="260" t="str"/>
      <c r="X60" s="260" t="str"/>
      <c r="Y60" s="260" t="str"/>
    </row>
    <row r="61" ht="22" customHeight="1" s="48">
      <c r="A61" s="261" t="str"/>
      <c r="B61" s="261" t="str"/>
      <c r="C61" s="285" t="str"/>
      <c r="D61" s="261" t="str"/>
      <c r="E61" s="261" t="str"/>
      <c r="F61" s="261" t="str"/>
      <c r="G61" s="289" t="str"/>
      <c r="H61" s="289" t="str"/>
      <c r="I61" s="284">
        <f>IFERROR(H61/G61,0)</f>
        <v/>
      </c>
      <c r="J61" s="311" t="str"/>
      <c r="K61" s="289" t="str"/>
      <c r="L61" s="284">
        <f>IFERROR(K61/F61,0)</f>
        <v/>
      </c>
      <c r="M61" s="289" t="str"/>
      <c r="N61" s="289" t="str"/>
      <c r="O61" s="289" t="str"/>
      <c r="P61" s="289" t="str"/>
      <c r="Q61" s="289" t="str"/>
      <c r="R61" s="289" t="str"/>
      <c r="S61" s="284" t="str"/>
      <c r="T61" s="261" t="str"/>
      <c r="U61" s="261" t="str"/>
      <c r="V61" s="261" t="str"/>
      <c r="W61" s="261" t="str"/>
      <c r="X61" s="261" t="str"/>
      <c r="Y61" s="261" t="str"/>
    </row>
    <row r="62" ht="22" customHeight="1" s="48">
      <c r="A62" s="260" t="str"/>
      <c r="B62" s="260" t="str"/>
      <c r="C62" s="287" t="str"/>
      <c r="D62" s="260" t="str"/>
      <c r="E62" s="260" t="str"/>
      <c r="F62" s="260" t="str"/>
      <c r="G62" s="288" t="str"/>
      <c r="H62" s="288" t="str"/>
      <c r="I62" s="286">
        <f>IFERROR(H62/G62,0)</f>
        <v/>
      </c>
      <c r="J62" s="310" t="str"/>
      <c r="K62" s="288" t="str"/>
      <c r="L62" s="286">
        <f>IFERROR(K62/F62,0)</f>
        <v/>
      </c>
      <c r="M62" s="288" t="str"/>
      <c r="N62" s="288" t="str"/>
      <c r="O62" s="288" t="str"/>
      <c r="P62" s="288" t="str"/>
      <c r="Q62" s="288" t="str"/>
      <c r="R62" s="288" t="str"/>
      <c r="S62" s="286" t="str"/>
      <c r="T62" s="260" t="str"/>
      <c r="U62" s="260" t="str"/>
      <c r="V62" s="260" t="str"/>
      <c r="W62" s="260" t="str"/>
      <c r="X62" s="260" t="str"/>
      <c r="Y62" s="260" t="str"/>
    </row>
    <row r="63" ht="22" customHeight="1" s="48">
      <c r="A63" s="261" t="str"/>
      <c r="B63" s="261" t="str"/>
      <c r="C63" s="285" t="str"/>
      <c r="D63" s="261" t="str"/>
      <c r="E63" s="261" t="str"/>
      <c r="F63" s="261" t="str"/>
      <c r="G63" s="289" t="str"/>
      <c r="H63" s="289" t="str"/>
      <c r="I63" s="284">
        <f>IFERROR(H63/G63,0)</f>
        <v/>
      </c>
      <c r="J63" s="311" t="str"/>
      <c r="K63" s="289" t="str"/>
      <c r="L63" s="284">
        <f>IFERROR(K63/F63,0)</f>
        <v/>
      </c>
      <c r="M63" s="289" t="str"/>
      <c r="N63" s="289" t="str"/>
      <c r="O63" s="289" t="str"/>
      <c r="P63" s="289" t="str"/>
      <c r="Q63" s="289" t="str"/>
      <c r="R63" s="289" t="str"/>
      <c r="S63" s="284" t="str"/>
      <c r="T63" s="261" t="str"/>
      <c r="U63" s="261" t="str"/>
      <c r="V63" s="261" t="str"/>
      <c r="W63" s="261" t="str"/>
      <c r="X63" s="261" t="str"/>
      <c r="Y63" s="261" t="str"/>
    </row>
    <row r="64" ht="22" customHeight="1" s="48">
      <c r="A64" s="260" t="str"/>
      <c r="B64" s="260" t="str"/>
      <c r="C64" s="287" t="str"/>
      <c r="D64" s="260" t="str"/>
      <c r="E64" s="260" t="str"/>
      <c r="F64" s="260" t="str"/>
      <c r="G64" s="288" t="str"/>
      <c r="H64" s="288" t="str"/>
      <c r="I64" s="286">
        <f>IFERROR(H64/G64,0)</f>
        <v/>
      </c>
      <c r="J64" s="310" t="str"/>
      <c r="K64" s="288" t="str"/>
      <c r="L64" s="286">
        <f>IFERROR(K64/F64,0)</f>
        <v/>
      </c>
      <c r="M64" s="288" t="str"/>
      <c r="N64" s="288" t="str"/>
      <c r="O64" s="288" t="str"/>
      <c r="P64" s="288" t="str"/>
      <c r="Q64" s="288" t="str"/>
      <c r="R64" s="288" t="str"/>
      <c r="S64" s="286" t="str"/>
      <c r="T64" s="260" t="str"/>
      <c r="U64" s="260" t="str"/>
      <c r="V64" s="260" t="str"/>
      <c r="W64" s="260" t="str"/>
      <c r="X64" s="260" t="str"/>
      <c r="Y64" s="260" t="str"/>
    </row>
    <row r="65" ht="22" customHeight="1" s="48">
      <c r="A65" s="261" t="str"/>
      <c r="B65" s="261" t="str"/>
      <c r="C65" s="285" t="str"/>
      <c r="D65" s="261" t="str"/>
      <c r="E65" s="261" t="str"/>
      <c r="F65" s="261" t="str"/>
      <c r="G65" s="289" t="str"/>
      <c r="H65" s="289" t="str"/>
      <c r="I65" s="284">
        <f>IFERROR(H65/G65,0)</f>
        <v/>
      </c>
      <c r="J65" s="311" t="str"/>
      <c r="K65" s="289" t="str"/>
      <c r="L65" s="284">
        <f>IFERROR(K65/F65,0)</f>
        <v/>
      </c>
      <c r="M65" s="289" t="str"/>
      <c r="N65" s="289" t="str"/>
      <c r="O65" s="289" t="str"/>
      <c r="P65" s="289" t="str"/>
      <c r="Q65" s="289" t="str"/>
      <c r="R65" s="289" t="str"/>
      <c r="S65" s="284" t="str"/>
      <c r="T65" s="261" t="str"/>
      <c r="U65" s="261" t="str"/>
      <c r="V65" s="261" t="str"/>
      <c r="W65" s="261" t="str"/>
      <c r="X65" s="261" t="str"/>
      <c r="Y65" s="261" t="str"/>
    </row>
    <row r="66" ht="22" customHeight="1" s="48">
      <c r="A66" s="260" t="str"/>
      <c r="B66" s="260" t="str"/>
      <c r="C66" s="287" t="str"/>
      <c r="D66" s="260" t="str"/>
      <c r="E66" s="260" t="str"/>
      <c r="F66" s="260" t="str"/>
      <c r="G66" s="288" t="str"/>
      <c r="H66" s="288" t="str"/>
      <c r="I66" s="286">
        <f>IFERROR(H66/G66,0)</f>
        <v/>
      </c>
      <c r="J66" s="310" t="str"/>
      <c r="K66" s="288" t="str"/>
      <c r="L66" s="286">
        <f>IFERROR(K66/F66,0)</f>
        <v/>
      </c>
      <c r="M66" s="288" t="str"/>
      <c r="N66" s="288" t="str"/>
      <c r="O66" s="288" t="str"/>
      <c r="P66" s="288" t="str"/>
      <c r="Q66" s="288" t="str"/>
      <c r="R66" s="288" t="str"/>
      <c r="S66" s="286" t="str"/>
      <c r="T66" s="260" t="str"/>
      <c r="U66" s="260" t="str"/>
      <c r="V66" s="260" t="str"/>
      <c r="W66" s="260" t="str"/>
      <c r="X66" s="260" t="str"/>
      <c r="Y66" s="260" t="str"/>
    </row>
    <row r="67" ht="22" customHeight="1" s="48">
      <c r="A67" s="261" t="str"/>
      <c r="B67" s="261" t="str"/>
      <c r="C67" s="285" t="str"/>
      <c r="D67" s="261" t="str"/>
      <c r="E67" s="261" t="str"/>
      <c r="F67" s="261" t="str"/>
      <c r="G67" s="289" t="str"/>
      <c r="H67" s="289" t="str"/>
      <c r="I67" s="284">
        <f>IFERROR(H67/G67,0)</f>
        <v/>
      </c>
      <c r="J67" s="311" t="str"/>
      <c r="K67" s="289" t="str"/>
      <c r="L67" s="284">
        <f>IFERROR(K67/F67,0)</f>
        <v/>
      </c>
      <c r="M67" s="289" t="str"/>
      <c r="N67" s="289" t="str"/>
      <c r="O67" s="289" t="str"/>
      <c r="P67" s="289" t="str"/>
      <c r="Q67" s="289" t="str"/>
      <c r="R67" s="289" t="str"/>
      <c r="S67" s="284" t="str"/>
      <c r="T67" s="261" t="str"/>
      <c r="U67" s="261" t="str"/>
      <c r="V67" s="261" t="str"/>
      <c r="W67" s="261" t="str"/>
      <c r="X67" s="261" t="str"/>
      <c r="Y67" s="261" t="str"/>
    </row>
    <row r="68" ht="22" customHeight="1" s="48">
      <c r="A68" s="260" t="str"/>
      <c r="B68" s="260" t="str"/>
      <c r="C68" s="287" t="str"/>
      <c r="D68" s="260" t="str"/>
      <c r="E68" s="260" t="str"/>
      <c r="F68" s="260" t="str"/>
      <c r="G68" s="288" t="str"/>
      <c r="H68" s="288" t="str"/>
      <c r="I68" s="286">
        <f>IFERROR(H68/G68,0)</f>
        <v/>
      </c>
      <c r="J68" s="310" t="str"/>
      <c r="K68" s="288" t="str"/>
      <c r="L68" s="286">
        <f>IFERROR(K68/F68,0)</f>
        <v/>
      </c>
      <c r="M68" s="288" t="str"/>
      <c r="N68" s="288" t="str"/>
      <c r="O68" s="288" t="str"/>
      <c r="P68" s="288" t="str"/>
      <c r="Q68" s="288" t="str"/>
      <c r="R68" s="288" t="str"/>
      <c r="S68" s="286" t="str"/>
      <c r="T68" s="260" t="str"/>
      <c r="U68" s="260" t="str"/>
      <c r="V68" s="260" t="str"/>
      <c r="W68" s="260" t="str"/>
      <c r="X68" s="260" t="str"/>
      <c r="Y68" s="260" t="str"/>
    </row>
    <row r="69" ht="22" customHeight="1" s="48">
      <c r="A69" s="261" t="str"/>
      <c r="B69" s="261" t="str"/>
      <c r="C69" s="285" t="str"/>
      <c r="D69" s="261" t="str"/>
      <c r="E69" s="261" t="str"/>
      <c r="F69" s="261" t="str"/>
      <c r="G69" s="289" t="str"/>
      <c r="H69" s="289" t="str"/>
      <c r="I69" s="284">
        <f>IFERROR(H69/G69,0)</f>
        <v/>
      </c>
      <c r="J69" s="311" t="str"/>
      <c r="K69" s="289" t="str"/>
      <c r="L69" s="284">
        <f>IFERROR(K69/F69,0)</f>
        <v/>
      </c>
      <c r="M69" s="289" t="str"/>
      <c r="N69" s="289" t="str"/>
      <c r="O69" s="289" t="str"/>
      <c r="P69" s="289" t="str"/>
      <c r="Q69" s="289" t="str"/>
      <c r="R69" s="289" t="str"/>
      <c r="S69" s="284" t="str"/>
      <c r="T69" s="261" t="str"/>
      <c r="U69" s="261" t="str"/>
      <c r="V69" s="261" t="str"/>
      <c r="W69" s="261" t="str"/>
      <c r="X69" s="261" t="str"/>
      <c r="Y69" s="261" t="str"/>
    </row>
    <row r="70" ht="22" customHeight="1" s="48">
      <c r="A70" s="260" t="str"/>
      <c r="B70" s="260" t="str"/>
      <c r="C70" s="287" t="str"/>
      <c r="D70" s="260" t="str"/>
      <c r="E70" s="260" t="str"/>
      <c r="F70" s="260" t="str"/>
      <c r="G70" s="288" t="str"/>
      <c r="H70" s="288" t="str"/>
      <c r="I70" s="286">
        <f>IFERROR(H70/G70,0)</f>
        <v/>
      </c>
      <c r="J70" s="310" t="str"/>
      <c r="K70" s="288" t="str"/>
      <c r="L70" s="286">
        <f>IFERROR(K70/F70,0)</f>
        <v/>
      </c>
      <c r="M70" s="288" t="str"/>
      <c r="N70" s="288" t="str"/>
      <c r="O70" s="288" t="str"/>
      <c r="P70" s="288" t="str"/>
      <c r="Q70" s="288" t="str"/>
      <c r="R70" s="288" t="str"/>
      <c r="S70" s="286" t="str"/>
      <c r="T70" s="260" t="str"/>
      <c r="U70" s="260" t="str"/>
      <c r="V70" s="260" t="str"/>
      <c r="W70" s="260" t="str"/>
      <c r="X70" s="260" t="str"/>
      <c r="Y70" s="260" t="str"/>
    </row>
    <row r="71" ht="22" customHeight="1" s="48">
      <c r="A71" s="261" t="str"/>
      <c r="B71" s="261" t="str"/>
      <c r="C71" s="285" t="str"/>
      <c r="D71" s="261" t="str"/>
      <c r="E71" s="261" t="str"/>
      <c r="F71" s="261" t="str"/>
      <c r="G71" s="289" t="str"/>
      <c r="H71" s="289" t="str"/>
      <c r="I71" s="284">
        <f>IFERROR(H71/G71,0)</f>
        <v/>
      </c>
      <c r="J71" s="311" t="str"/>
      <c r="K71" s="289" t="str"/>
      <c r="L71" s="284">
        <f>IFERROR(K71/F71,0)</f>
        <v/>
      </c>
      <c r="M71" s="289" t="str"/>
      <c r="N71" s="289" t="str"/>
      <c r="O71" s="289" t="str"/>
      <c r="P71" s="289" t="str"/>
      <c r="Q71" s="289" t="str"/>
      <c r="R71" s="289" t="str"/>
      <c r="S71" s="284" t="str"/>
      <c r="T71" s="261" t="str"/>
      <c r="U71" s="261" t="str"/>
      <c r="V71" s="261" t="str"/>
      <c r="W71" s="261" t="str"/>
      <c r="X71" s="261" t="str"/>
      <c r="Y71" s="261" t="str"/>
    </row>
    <row r="72" ht="22" customHeight="1" s="48">
      <c r="A72" s="260" t="str"/>
      <c r="B72" s="260" t="str"/>
      <c r="C72" s="287" t="str"/>
      <c r="D72" s="260" t="str"/>
      <c r="E72" s="260" t="str"/>
      <c r="F72" s="260" t="str"/>
      <c r="G72" s="288" t="str"/>
      <c r="H72" s="288" t="str"/>
      <c r="I72" s="286">
        <f>IFERROR(H72/G72,0)</f>
        <v/>
      </c>
      <c r="J72" s="310" t="str"/>
      <c r="K72" s="288" t="str"/>
      <c r="L72" s="286">
        <f>IFERROR(K72/F72,0)</f>
        <v/>
      </c>
      <c r="M72" s="288" t="str"/>
      <c r="N72" s="288" t="str"/>
      <c r="O72" s="288" t="str"/>
      <c r="P72" s="288" t="str"/>
      <c r="Q72" s="288" t="str"/>
      <c r="R72" s="288" t="str"/>
      <c r="S72" s="286" t="str"/>
      <c r="T72" s="260" t="str"/>
      <c r="U72" s="260" t="str"/>
      <c r="V72" s="260" t="str"/>
      <c r="W72" s="260" t="str"/>
      <c r="X72" s="260" t="str"/>
      <c r="Y72" s="260" t="str"/>
    </row>
    <row r="73" ht="22" customHeight="1" s="48">
      <c r="A73" s="261" t="str"/>
      <c r="B73" s="261" t="str"/>
      <c r="C73" s="285" t="str"/>
      <c r="D73" s="261" t="str"/>
      <c r="E73" s="261" t="str"/>
      <c r="F73" s="261" t="str"/>
      <c r="G73" s="289" t="str"/>
      <c r="H73" s="289" t="str"/>
      <c r="I73" s="284">
        <f>IFERROR(H73/G73,0)</f>
        <v/>
      </c>
      <c r="J73" s="311" t="str"/>
      <c r="K73" s="289" t="str"/>
      <c r="L73" s="284">
        <f>IFERROR(K73/F73,0)</f>
        <v/>
      </c>
      <c r="M73" s="289" t="str"/>
      <c r="N73" s="289" t="str"/>
      <c r="O73" s="289" t="str"/>
      <c r="P73" s="289" t="str"/>
      <c r="Q73" s="289" t="str"/>
      <c r="R73" s="289" t="str"/>
      <c r="S73" s="284" t="str"/>
      <c r="T73" s="261" t="str"/>
      <c r="U73" s="261" t="str"/>
      <c r="V73" s="261" t="str"/>
      <c r="W73" s="261" t="str"/>
      <c r="X73" s="261" t="str"/>
      <c r="Y73" s="261" t="str"/>
    </row>
    <row r="74" ht="22" customHeight="1" s="48">
      <c r="A74" s="260" t="str"/>
      <c r="B74" s="260" t="str"/>
      <c r="C74" s="287" t="str"/>
      <c r="D74" s="260" t="str"/>
      <c r="E74" s="260" t="str"/>
      <c r="F74" s="260" t="str"/>
      <c r="G74" s="288" t="str"/>
      <c r="H74" s="288" t="str"/>
      <c r="I74" s="286">
        <f>IFERROR(H74/G74,0)</f>
        <v/>
      </c>
      <c r="J74" s="310" t="str"/>
      <c r="K74" s="288" t="str"/>
      <c r="L74" s="286">
        <f>IFERROR(K74/F74,0)</f>
        <v/>
      </c>
      <c r="M74" s="288" t="str"/>
      <c r="N74" s="288" t="str"/>
      <c r="O74" s="288" t="str"/>
      <c r="P74" s="288" t="str"/>
      <c r="Q74" s="288" t="str"/>
      <c r="R74" s="288" t="str"/>
      <c r="S74" s="286" t="str"/>
      <c r="T74" s="260" t="str"/>
      <c r="U74" s="260" t="str"/>
      <c r="V74" s="260" t="str"/>
      <c r="W74" s="260" t="str"/>
      <c r="X74" s="260" t="str"/>
      <c r="Y74" s="260" t="str"/>
    </row>
    <row r="75" ht="22" customHeight="1" s="48">
      <c r="A75" s="261" t="str"/>
      <c r="B75" s="261" t="str"/>
      <c r="C75" s="285" t="str"/>
      <c r="D75" s="261" t="str"/>
      <c r="E75" s="261" t="str"/>
      <c r="F75" s="261" t="str"/>
      <c r="G75" s="289" t="str"/>
      <c r="H75" s="289" t="str"/>
      <c r="I75" s="284">
        <f>IFERROR(H75/G75,0)</f>
        <v/>
      </c>
      <c r="J75" s="311" t="str"/>
      <c r="K75" s="289" t="str"/>
      <c r="L75" s="284">
        <f>IFERROR(K75/F75,0)</f>
        <v/>
      </c>
      <c r="M75" s="289" t="str"/>
      <c r="N75" s="289" t="str"/>
      <c r="O75" s="289" t="str"/>
      <c r="P75" s="289" t="str"/>
      <c r="Q75" s="289" t="str"/>
      <c r="R75" s="289" t="str"/>
      <c r="S75" s="284" t="str"/>
      <c r="T75" s="261" t="str"/>
      <c r="U75" s="261" t="str"/>
      <c r="V75" s="261" t="str"/>
      <c r="W75" s="261" t="str"/>
      <c r="X75" s="261" t="str"/>
      <c r="Y75" s="261" t="str"/>
    </row>
    <row r="76" ht="22" customHeight="1" s="48">
      <c r="A76" s="260" t="str"/>
      <c r="B76" s="260" t="str"/>
      <c r="C76" s="287" t="str"/>
      <c r="D76" s="260" t="str"/>
      <c r="E76" s="260" t="str"/>
      <c r="F76" s="260" t="str"/>
      <c r="G76" s="288" t="str"/>
      <c r="H76" s="288" t="str"/>
      <c r="I76" s="286">
        <f>IFERROR(H76/G76,0)</f>
        <v/>
      </c>
      <c r="J76" s="310" t="str"/>
      <c r="K76" s="288" t="str"/>
      <c r="L76" s="286">
        <f>IFERROR(K76/F76,0)</f>
        <v/>
      </c>
      <c r="M76" s="288" t="str"/>
      <c r="N76" s="288" t="str"/>
      <c r="O76" s="288" t="str"/>
      <c r="P76" s="288" t="str"/>
      <c r="Q76" s="288" t="str"/>
      <c r="R76" s="288" t="str"/>
      <c r="S76" s="286" t="str"/>
      <c r="T76" s="260" t="str"/>
      <c r="U76" s="260" t="str"/>
      <c r="V76" s="260" t="str"/>
      <c r="W76" s="260" t="str"/>
      <c r="X76" s="260" t="str"/>
      <c r="Y76" s="260" t="str"/>
    </row>
    <row r="77" ht="22" customHeight="1" s="48">
      <c r="A77" s="261" t="str"/>
      <c r="B77" s="261" t="str"/>
      <c r="C77" s="285" t="str"/>
      <c r="D77" s="261" t="str"/>
      <c r="E77" s="261" t="str"/>
      <c r="F77" s="261" t="str"/>
      <c r="G77" s="289" t="str"/>
      <c r="H77" s="289" t="str"/>
      <c r="I77" s="284">
        <f>IFERROR(H77/G77,0)</f>
        <v/>
      </c>
      <c r="J77" s="311" t="str"/>
      <c r="K77" s="289" t="str"/>
      <c r="L77" s="284">
        <f>IFERROR(K77/F77,0)</f>
        <v/>
      </c>
      <c r="M77" s="289" t="str"/>
      <c r="N77" s="289" t="str"/>
      <c r="O77" s="289" t="str"/>
      <c r="P77" s="289" t="str"/>
      <c r="Q77" s="289" t="str"/>
      <c r="R77" s="289" t="str"/>
      <c r="S77" s="284" t="str"/>
      <c r="T77" s="261" t="str"/>
      <c r="U77" s="261" t="str"/>
      <c r="V77" s="261" t="str"/>
      <c r="W77" s="261" t="str"/>
      <c r="X77" s="261" t="str"/>
      <c r="Y77" s="261" t="str"/>
    </row>
    <row r="78" ht="22" customHeight="1" s="48">
      <c r="A78" s="260" t="str"/>
      <c r="B78" s="260" t="str"/>
      <c r="C78" s="287" t="str"/>
      <c r="D78" s="260" t="str"/>
      <c r="E78" s="260" t="str"/>
      <c r="F78" s="260" t="str"/>
      <c r="G78" s="288" t="str"/>
      <c r="H78" s="288" t="str"/>
      <c r="I78" s="286">
        <f>IFERROR(H78/G78,0)</f>
        <v/>
      </c>
      <c r="J78" s="310" t="str"/>
      <c r="K78" s="288" t="str"/>
      <c r="L78" s="286">
        <f>IFERROR(K78/F78,0)</f>
        <v/>
      </c>
      <c r="M78" s="288" t="str"/>
      <c r="N78" s="288" t="str"/>
      <c r="O78" s="288" t="str"/>
      <c r="P78" s="288" t="str"/>
      <c r="Q78" s="288" t="str"/>
      <c r="R78" s="288" t="str"/>
      <c r="S78" s="286" t="str"/>
      <c r="T78" s="260" t="str"/>
      <c r="U78" s="260" t="str"/>
      <c r="V78" s="260" t="str"/>
      <c r="W78" s="260" t="str"/>
      <c r="X78" s="260" t="str"/>
      <c r="Y78" s="260" t="str"/>
    </row>
    <row r="79" ht="22" customHeight="1" s="48">
      <c r="A79" s="261" t="str"/>
      <c r="B79" s="261" t="str"/>
      <c r="C79" s="285" t="str"/>
      <c r="D79" s="261" t="str"/>
      <c r="E79" s="261" t="str"/>
      <c r="F79" s="261" t="str"/>
      <c r="G79" s="289" t="str"/>
      <c r="H79" s="289" t="str"/>
      <c r="I79" s="284">
        <f>IFERROR(H79/G79,0)</f>
        <v/>
      </c>
      <c r="J79" s="311" t="str"/>
      <c r="K79" s="289" t="str"/>
      <c r="L79" s="284">
        <f>IFERROR(K79/F79,0)</f>
        <v/>
      </c>
      <c r="M79" s="289" t="str"/>
      <c r="N79" s="289" t="str"/>
      <c r="O79" s="289" t="str"/>
      <c r="P79" s="289" t="str"/>
      <c r="Q79" s="289" t="str"/>
      <c r="R79" s="289" t="str"/>
      <c r="S79" s="284" t="str"/>
      <c r="T79" s="261" t="str"/>
      <c r="U79" s="261" t="str"/>
      <c r="V79" s="261" t="str"/>
      <c r="W79" s="261" t="str"/>
      <c r="X79" s="261" t="str"/>
      <c r="Y79" s="261" t="str"/>
    </row>
    <row r="80" ht="22" customHeight="1" s="48">
      <c r="A80" s="260" t="str"/>
      <c r="B80" s="260" t="str"/>
      <c r="C80" s="287" t="str"/>
      <c r="D80" s="260" t="str"/>
      <c r="E80" s="260" t="str"/>
      <c r="F80" s="260" t="str"/>
      <c r="G80" s="288" t="str"/>
      <c r="H80" s="288" t="str"/>
      <c r="I80" s="286">
        <f>IFERROR(H80/G80,0)</f>
        <v/>
      </c>
      <c r="J80" s="310" t="str"/>
      <c r="K80" s="288" t="str"/>
      <c r="L80" s="286">
        <f>IFERROR(K80/F80,0)</f>
        <v/>
      </c>
      <c r="M80" s="288" t="str"/>
      <c r="N80" s="288" t="str"/>
      <c r="O80" s="288" t="str"/>
      <c r="P80" s="288" t="str"/>
      <c r="Q80" s="288" t="str"/>
      <c r="R80" s="288" t="str"/>
      <c r="S80" s="286" t="str"/>
      <c r="T80" s="260" t="str"/>
      <c r="U80" s="260" t="str"/>
      <c r="V80" s="260" t="str"/>
      <c r="W80" s="260" t="str"/>
      <c r="X80" s="260" t="str"/>
      <c r="Y80" s="260" t="str"/>
    </row>
    <row r="81" ht="22" customHeight="1" s="48">
      <c r="A81" s="261" t="str"/>
      <c r="B81" s="261" t="str"/>
      <c r="C81" s="285" t="str"/>
      <c r="D81" s="261" t="str"/>
      <c r="E81" s="261" t="str"/>
      <c r="F81" s="261" t="str"/>
      <c r="G81" s="289" t="str"/>
      <c r="H81" s="289" t="str"/>
      <c r="I81" s="284">
        <f>IFERROR(H81/G81,0)</f>
        <v/>
      </c>
      <c r="J81" s="311" t="str"/>
      <c r="K81" s="289" t="str"/>
      <c r="L81" s="284">
        <f>IFERROR(K81/F81,0)</f>
        <v/>
      </c>
      <c r="M81" s="289" t="str"/>
      <c r="N81" s="289" t="str"/>
      <c r="O81" s="289" t="str"/>
      <c r="P81" s="289" t="str"/>
      <c r="Q81" s="289" t="str"/>
      <c r="R81" s="289" t="str"/>
      <c r="S81" s="284" t="str"/>
      <c r="T81" s="261" t="str"/>
      <c r="U81" s="261" t="str"/>
      <c r="V81" s="261" t="str"/>
      <c r="W81" s="261" t="str"/>
      <c r="X81" s="261" t="str"/>
      <c r="Y81" s="261" t="str"/>
    </row>
    <row r="82" ht="22" customHeight="1" s="48">
      <c r="A82" s="260" t="str"/>
      <c r="B82" s="260" t="str"/>
      <c r="C82" s="287" t="str"/>
      <c r="D82" s="260" t="str"/>
      <c r="E82" s="260" t="str"/>
      <c r="F82" s="260" t="str"/>
      <c r="G82" s="288" t="str"/>
      <c r="H82" s="288" t="str"/>
      <c r="I82" s="286">
        <f>IFERROR(H82/G82,0)</f>
        <v/>
      </c>
      <c r="J82" s="310" t="str"/>
      <c r="K82" s="288" t="str"/>
      <c r="L82" s="286">
        <f>IFERROR(K82/F82,0)</f>
        <v/>
      </c>
      <c r="M82" s="288" t="str"/>
      <c r="N82" s="288" t="str"/>
      <c r="O82" s="288" t="str"/>
      <c r="P82" s="288" t="str"/>
      <c r="Q82" s="288" t="str"/>
      <c r="R82" s="288" t="str"/>
      <c r="S82" s="286" t="str"/>
      <c r="T82" s="260" t="str"/>
      <c r="U82" s="260" t="str"/>
      <c r="V82" s="260" t="str"/>
      <c r="W82" s="260" t="str"/>
      <c r="X82" s="260" t="str"/>
      <c r="Y82" s="260" t="str"/>
    </row>
    <row r="83" ht="22" customHeight="1" s="48">
      <c r="A83" s="261" t="str"/>
      <c r="B83" s="261" t="str"/>
      <c r="C83" s="285" t="str"/>
      <c r="D83" s="261" t="str"/>
      <c r="E83" s="261" t="str"/>
      <c r="F83" s="261" t="str"/>
      <c r="G83" s="289" t="str"/>
      <c r="H83" s="289" t="str"/>
      <c r="I83" s="284">
        <f>IFERROR(H83/G83,0)</f>
        <v/>
      </c>
      <c r="J83" s="311" t="str"/>
      <c r="K83" s="289" t="str"/>
      <c r="L83" s="284">
        <f>IFERROR(K83/F83,0)</f>
        <v/>
      </c>
      <c r="M83" s="289" t="str"/>
      <c r="N83" s="289" t="str"/>
      <c r="O83" s="289" t="str"/>
      <c r="P83" s="289" t="str"/>
      <c r="Q83" s="289" t="str"/>
      <c r="R83" s="289" t="str"/>
      <c r="S83" s="284" t="str"/>
      <c r="T83" s="261" t="str"/>
      <c r="U83" s="261" t="str"/>
      <c r="V83" s="261" t="str"/>
      <c r="W83" s="261" t="str"/>
      <c r="X83" s="261" t="str"/>
      <c r="Y83" s="261" t="str"/>
    </row>
    <row r="84" ht="22" customHeight="1" s="48">
      <c r="A84" s="260" t="str"/>
      <c r="B84" s="260" t="str"/>
      <c r="C84" s="287" t="str"/>
      <c r="D84" s="260" t="str"/>
      <c r="E84" s="260" t="str"/>
      <c r="F84" s="260" t="str"/>
      <c r="G84" s="288" t="str"/>
      <c r="H84" s="288" t="str"/>
      <c r="I84" s="286">
        <f>IFERROR(H84/G84,0)</f>
        <v/>
      </c>
      <c r="J84" s="310" t="str"/>
      <c r="K84" s="288" t="str"/>
      <c r="L84" s="286">
        <f>IFERROR(K84/F84,0)</f>
        <v/>
      </c>
      <c r="M84" s="288" t="str"/>
      <c r="N84" s="288" t="str"/>
      <c r="O84" s="288" t="str"/>
      <c r="P84" s="288" t="str"/>
      <c r="Q84" s="288" t="str"/>
      <c r="R84" s="288" t="str"/>
      <c r="S84" s="286" t="str"/>
      <c r="T84" s="260" t="str"/>
      <c r="U84" s="260" t="str"/>
      <c r="V84" s="260" t="str"/>
      <c r="W84" s="260" t="str"/>
      <c r="X84" s="260" t="str"/>
      <c r="Y84" s="260" t="str"/>
    </row>
    <row r="85" ht="22" customHeight="1" s="48">
      <c r="A85" s="261" t="str"/>
      <c r="B85" s="261" t="str"/>
      <c r="C85" s="285" t="str"/>
      <c r="D85" s="261" t="str"/>
      <c r="E85" s="261" t="str"/>
      <c r="F85" s="261" t="str"/>
      <c r="G85" s="289" t="str"/>
      <c r="H85" s="289" t="str"/>
      <c r="I85" s="284">
        <f>IFERROR(H85/G85,0)</f>
        <v/>
      </c>
      <c r="J85" s="311" t="str"/>
      <c r="K85" s="289" t="str"/>
      <c r="L85" s="284">
        <f>IFERROR(K85/F85,0)</f>
        <v/>
      </c>
      <c r="M85" s="289" t="str"/>
      <c r="N85" s="289" t="str"/>
      <c r="O85" s="289" t="str"/>
      <c r="P85" s="289" t="str"/>
      <c r="Q85" s="289" t="str"/>
      <c r="R85" s="289" t="str"/>
      <c r="S85" s="284" t="str"/>
      <c r="T85" s="261" t="str"/>
      <c r="U85" s="261" t="str"/>
      <c r="V85" s="261" t="str"/>
      <c r="W85" s="261" t="str"/>
      <c r="X85" s="261" t="str"/>
      <c r="Y85" s="261" t="str"/>
    </row>
    <row r="86" ht="22" customHeight="1" s="48">
      <c r="A86" s="260" t="str"/>
      <c r="B86" s="260" t="str"/>
      <c r="C86" s="287" t="str"/>
      <c r="D86" s="260" t="str"/>
      <c r="E86" s="260" t="str"/>
      <c r="F86" s="260" t="str"/>
      <c r="G86" s="288" t="str"/>
      <c r="H86" s="288" t="str"/>
      <c r="I86" s="286">
        <f>IFERROR(H86/G86,0)</f>
        <v/>
      </c>
      <c r="J86" s="310" t="str"/>
      <c r="K86" s="288" t="str"/>
      <c r="L86" s="286">
        <f>IFERROR(K86/F86,0)</f>
        <v/>
      </c>
      <c r="M86" s="288" t="str"/>
      <c r="N86" s="288" t="str"/>
      <c r="O86" s="288" t="str"/>
      <c r="P86" s="288" t="str"/>
      <c r="Q86" s="288" t="str"/>
      <c r="R86" s="288" t="str"/>
      <c r="S86" s="286" t="str"/>
      <c r="T86" s="260" t="str"/>
      <c r="U86" s="260" t="str"/>
      <c r="V86" s="260" t="str"/>
      <c r="W86" s="260" t="str"/>
      <c r="X86" s="260" t="str"/>
      <c r="Y86" s="260" t="str"/>
    </row>
    <row r="87" ht="22" customHeight="1" s="48">
      <c r="A87" s="261" t="str"/>
      <c r="B87" s="261" t="str"/>
      <c r="C87" s="285" t="str"/>
      <c r="D87" s="261" t="str"/>
      <c r="E87" s="261" t="str"/>
      <c r="F87" s="261" t="str"/>
      <c r="G87" s="289" t="str"/>
      <c r="H87" s="289" t="str"/>
      <c r="I87" s="284">
        <f>IFERROR(H87/G87,0)</f>
        <v/>
      </c>
      <c r="J87" s="311" t="str"/>
      <c r="K87" s="289" t="str"/>
      <c r="L87" s="284">
        <f>IFERROR(K87/F87,0)</f>
        <v/>
      </c>
      <c r="M87" s="289" t="str"/>
      <c r="N87" s="289" t="str"/>
      <c r="O87" s="289" t="str"/>
      <c r="P87" s="289" t="str"/>
      <c r="Q87" s="289" t="str"/>
      <c r="R87" s="289" t="str"/>
      <c r="S87" s="284" t="str"/>
      <c r="T87" s="261" t="str"/>
      <c r="U87" s="261" t="str"/>
      <c r="V87" s="261" t="str"/>
      <c r="W87" s="261" t="str"/>
      <c r="X87" s="261" t="str"/>
      <c r="Y87" s="261" t="str"/>
    </row>
    <row r="88" ht="22" customHeight="1" s="48">
      <c r="A88" s="260" t="str"/>
      <c r="B88" s="260" t="str"/>
      <c r="C88" s="287" t="str"/>
      <c r="D88" s="260" t="str"/>
      <c r="E88" s="260" t="str"/>
      <c r="F88" s="260" t="str"/>
      <c r="G88" s="288" t="str"/>
      <c r="H88" s="288" t="str"/>
      <c r="I88" s="286">
        <f>IFERROR(H88/G88,0)</f>
        <v/>
      </c>
      <c r="J88" s="310" t="str"/>
      <c r="K88" s="288" t="str"/>
      <c r="L88" s="286">
        <f>IFERROR(K88/F88,0)</f>
        <v/>
      </c>
      <c r="M88" s="288" t="str"/>
      <c r="N88" s="288" t="str"/>
      <c r="O88" s="288" t="str"/>
      <c r="P88" s="288" t="str"/>
      <c r="Q88" s="288" t="str"/>
      <c r="R88" s="288" t="str"/>
      <c r="S88" s="286" t="str"/>
      <c r="T88" s="260" t="str"/>
      <c r="U88" s="260" t="str"/>
      <c r="V88" s="260" t="str"/>
      <c r="W88" s="260" t="str"/>
      <c r="X88" s="260" t="str"/>
      <c r="Y88" s="260" t="str"/>
    </row>
    <row r="89" ht="22" customHeight="1" s="48">
      <c r="A89" s="261" t="str"/>
      <c r="B89" s="261" t="str"/>
      <c r="C89" s="285" t="str"/>
      <c r="D89" s="261" t="str"/>
      <c r="E89" s="261" t="str"/>
      <c r="F89" s="261" t="str"/>
      <c r="G89" s="289" t="str"/>
      <c r="H89" s="289" t="str"/>
      <c r="I89" s="284">
        <f>IFERROR(H89/G89,0)</f>
        <v/>
      </c>
      <c r="J89" s="311" t="str"/>
      <c r="K89" s="289" t="str"/>
      <c r="L89" s="284">
        <f>IFERROR(K89/F89,0)</f>
        <v/>
      </c>
      <c r="M89" s="289" t="str"/>
      <c r="N89" s="289" t="str"/>
      <c r="O89" s="289" t="str"/>
      <c r="P89" s="289" t="str"/>
      <c r="Q89" s="289" t="str"/>
      <c r="R89" s="289" t="str"/>
      <c r="S89" s="284" t="str"/>
      <c r="T89" s="261" t="str"/>
      <c r="U89" s="261" t="str"/>
      <c r="V89" s="261" t="str"/>
      <c r="W89" s="261" t="str"/>
      <c r="X89" s="261" t="str"/>
      <c r="Y89" s="261" t="str"/>
    </row>
    <row r="90" ht="22" customHeight="1" s="48">
      <c r="A90" s="260" t="str"/>
      <c r="B90" s="260" t="str"/>
      <c r="C90" s="287" t="str"/>
      <c r="D90" s="260" t="str"/>
      <c r="E90" s="260" t="str"/>
      <c r="F90" s="260" t="str"/>
      <c r="G90" s="288" t="str"/>
      <c r="H90" s="288" t="str"/>
      <c r="I90" s="286">
        <f>IFERROR(H90/G90,0)</f>
        <v/>
      </c>
      <c r="J90" s="310" t="str"/>
      <c r="K90" s="288" t="str"/>
      <c r="L90" s="286">
        <f>IFERROR(K90/F90,0)</f>
        <v/>
      </c>
      <c r="M90" s="288" t="str"/>
      <c r="N90" s="288" t="str"/>
      <c r="O90" s="288" t="str"/>
      <c r="P90" s="288" t="str"/>
      <c r="Q90" s="288" t="str"/>
      <c r="R90" s="288" t="str"/>
      <c r="S90" s="286" t="str"/>
      <c r="T90" s="260" t="str"/>
      <c r="U90" s="260" t="str"/>
      <c r="V90" s="260" t="str"/>
      <c r="W90" s="260" t="str"/>
      <c r="X90" s="260" t="str"/>
      <c r="Y90" s="260" t="str"/>
    </row>
    <row r="91" ht="22" customHeight="1" s="48">
      <c r="A91" s="261" t="str"/>
      <c r="B91" s="261" t="str"/>
      <c r="C91" s="285" t="str"/>
      <c r="D91" s="261" t="str"/>
      <c r="E91" s="261" t="str"/>
      <c r="F91" s="261" t="str"/>
      <c r="G91" s="289" t="str"/>
      <c r="H91" s="289" t="str"/>
      <c r="I91" s="284">
        <f>IFERROR(H91/G91,0)</f>
        <v/>
      </c>
      <c r="J91" s="311" t="str"/>
      <c r="K91" s="289" t="str"/>
      <c r="L91" s="284">
        <f>IFERROR(K91/F91,0)</f>
        <v/>
      </c>
      <c r="M91" s="289" t="str"/>
      <c r="N91" s="289" t="str"/>
      <c r="O91" s="289" t="str"/>
      <c r="P91" s="289" t="str"/>
      <c r="Q91" s="289" t="str"/>
      <c r="R91" s="289" t="str"/>
      <c r="S91" s="284" t="str"/>
      <c r="T91" s="261" t="str"/>
      <c r="U91" s="261" t="str"/>
      <c r="V91" s="261" t="str"/>
      <c r="W91" s="261" t="str"/>
      <c r="X91" s="261" t="str"/>
      <c r="Y91" s="261" t="str"/>
    </row>
    <row r="92" ht="22" customHeight="1" s="48">
      <c r="A92" s="260" t="str"/>
      <c r="B92" s="260" t="str"/>
      <c r="C92" s="287" t="str"/>
      <c r="D92" s="260" t="str"/>
      <c r="E92" s="260" t="str"/>
      <c r="F92" s="260" t="str"/>
      <c r="G92" s="288" t="str"/>
      <c r="H92" s="288" t="str"/>
      <c r="I92" s="286">
        <f>IFERROR(H92/G92,0)</f>
        <v/>
      </c>
      <c r="J92" s="310" t="str"/>
      <c r="K92" s="288" t="str"/>
      <c r="L92" s="286">
        <f>IFERROR(K92/F92,0)</f>
        <v/>
      </c>
      <c r="M92" s="288" t="str"/>
      <c r="N92" s="288" t="str"/>
      <c r="O92" s="288" t="str"/>
      <c r="P92" s="288" t="str"/>
      <c r="Q92" s="288" t="str"/>
      <c r="R92" s="288" t="str"/>
      <c r="S92" s="286" t="str"/>
      <c r="T92" s="260" t="str"/>
      <c r="U92" s="260" t="str"/>
      <c r="V92" s="260" t="str"/>
      <c r="W92" s="260" t="str"/>
      <c r="X92" s="260" t="str"/>
      <c r="Y92" s="260" t="str"/>
    </row>
    <row r="93" ht="22" customHeight="1" s="48">
      <c r="A93" s="261" t="str"/>
      <c r="B93" s="261" t="str"/>
      <c r="C93" s="285" t="str"/>
      <c r="D93" s="261" t="str"/>
      <c r="E93" s="261" t="str"/>
      <c r="F93" s="261" t="str"/>
      <c r="G93" s="289" t="str"/>
      <c r="H93" s="289" t="str"/>
      <c r="I93" s="284">
        <f>IFERROR(H93/G93,0)</f>
        <v/>
      </c>
      <c r="J93" s="311" t="str"/>
      <c r="K93" s="289" t="str"/>
      <c r="L93" s="284">
        <f>IFERROR(K93/F93,0)</f>
        <v/>
      </c>
      <c r="M93" s="289" t="str"/>
      <c r="N93" s="289" t="str"/>
      <c r="O93" s="289" t="str"/>
      <c r="P93" s="289" t="str"/>
      <c r="Q93" s="289" t="str"/>
      <c r="R93" s="289" t="str"/>
      <c r="S93" s="284" t="str"/>
      <c r="T93" s="261" t="str"/>
      <c r="U93" s="261" t="str"/>
      <c r="V93" s="261" t="str"/>
      <c r="W93" s="261" t="str"/>
      <c r="X93" s="261" t="str"/>
      <c r="Y93" s="261" t="str"/>
    </row>
    <row r="94" ht="22" customHeight="1" s="48">
      <c r="A94" s="260" t="str"/>
      <c r="B94" s="260" t="str"/>
      <c r="C94" s="287" t="str"/>
      <c r="D94" s="260" t="str"/>
      <c r="E94" s="260" t="str"/>
      <c r="F94" s="260" t="str"/>
      <c r="G94" s="288" t="str"/>
      <c r="H94" s="288" t="str"/>
      <c r="I94" s="286">
        <f>IFERROR(H94/G94,0)</f>
        <v/>
      </c>
      <c r="J94" s="310" t="str"/>
      <c r="K94" s="288" t="str"/>
      <c r="L94" s="286">
        <f>IFERROR(K94/F94,0)</f>
        <v/>
      </c>
      <c r="M94" s="288" t="str"/>
      <c r="N94" s="288" t="str"/>
      <c r="O94" s="288" t="str"/>
      <c r="P94" s="288" t="str"/>
      <c r="Q94" s="288" t="str"/>
      <c r="R94" s="288" t="str"/>
      <c r="S94" s="286" t="str"/>
      <c r="T94" s="260" t="str"/>
      <c r="U94" s="260" t="str"/>
      <c r="V94" s="260" t="str"/>
      <c r="W94" s="260" t="str"/>
      <c r="X94" s="260" t="str"/>
      <c r="Y94" s="260" t="str"/>
    </row>
    <row r="95" ht="22" customHeight="1" s="48">
      <c r="A95" s="261" t="str"/>
      <c r="B95" s="261" t="str"/>
      <c r="C95" s="285" t="str"/>
      <c r="D95" s="261" t="str"/>
      <c r="E95" s="261" t="str"/>
      <c r="F95" s="261" t="str"/>
      <c r="G95" s="289" t="str"/>
      <c r="H95" s="289" t="str"/>
      <c r="I95" s="284">
        <f>IFERROR(H95/G95,0)</f>
        <v/>
      </c>
      <c r="J95" s="311" t="str"/>
      <c r="K95" s="289" t="str"/>
      <c r="L95" s="284">
        <f>IFERROR(K95/F95,0)</f>
        <v/>
      </c>
      <c r="M95" s="289" t="str"/>
      <c r="N95" s="289" t="str"/>
      <c r="O95" s="289" t="str"/>
      <c r="P95" s="289" t="str"/>
      <c r="Q95" s="289" t="str"/>
      <c r="R95" s="289" t="str"/>
      <c r="S95" s="284" t="str"/>
      <c r="T95" s="261" t="str"/>
      <c r="U95" s="261" t="str"/>
      <c r="V95" s="261" t="str"/>
      <c r="W95" s="261" t="str"/>
      <c r="X95" s="261" t="str"/>
      <c r="Y95" s="261" t="str"/>
    </row>
    <row r="96" ht="22" customHeight="1" s="48">
      <c r="A96" s="260" t="str"/>
      <c r="B96" s="260" t="str"/>
      <c r="C96" s="287" t="str"/>
      <c r="D96" s="260" t="str"/>
      <c r="E96" s="260" t="str"/>
      <c r="F96" s="260" t="str"/>
      <c r="G96" s="288" t="str"/>
      <c r="H96" s="288" t="str"/>
      <c r="I96" s="286">
        <f>IFERROR(H96/G96,0)</f>
        <v/>
      </c>
      <c r="J96" s="310" t="str"/>
      <c r="K96" s="288" t="str"/>
      <c r="L96" s="286">
        <f>IFERROR(K96/F96,0)</f>
        <v/>
      </c>
      <c r="M96" s="288" t="str"/>
      <c r="N96" s="288" t="str"/>
      <c r="O96" s="288" t="str"/>
      <c r="P96" s="288" t="str"/>
      <c r="Q96" s="288" t="str"/>
      <c r="R96" s="288" t="str"/>
      <c r="S96" s="286" t="str"/>
      <c r="T96" s="260" t="str"/>
      <c r="U96" s="260" t="str"/>
      <c r="V96" s="260" t="str"/>
      <c r="W96" s="260" t="str"/>
      <c r="X96" s="260" t="str"/>
      <c r="Y96" s="260" t="str"/>
    </row>
    <row r="97" ht="22" customHeight="1" s="48">
      <c r="A97" s="261" t="str"/>
      <c r="B97" s="261" t="str"/>
      <c r="C97" s="285" t="str"/>
      <c r="D97" s="261" t="str"/>
      <c r="E97" s="261" t="str"/>
      <c r="F97" s="261" t="str"/>
      <c r="G97" s="289" t="str"/>
      <c r="H97" s="289" t="str"/>
      <c r="I97" s="284">
        <f>IFERROR(H97/G97,0)</f>
        <v/>
      </c>
      <c r="J97" s="311" t="str"/>
      <c r="K97" s="289" t="str"/>
      <c r="L97" s="284">
        <f>IFERROR(K97/F97,0)</f>
        <v/>
      </c>
      <c r="M97" s="289" t="str"/>
      <c r="N97" s="289" t="str"/>
      <c r="O97" s="289" t="str"/>
      <c r="P97" s="289" t="str"/>
      <c r="Q97" s="289" t="str"/>
      <c r="R97" s="289" t="str"/>
      <c r="S97" s="284" t="str"/>
      <c r="T97" s="261" t="str"/>
      <c r="U97" s="261" t="str"/>
      <c r="V97" s="261" t="str"/>
      <c r="W97" s="261" t="str"/>
      <c r="X97" s="261" t="str"/>
      <c r="Y97" s="261" t="str"/>
    </row>
    <row r="98" ht="22" customHeight="1" s="48">
      <c r="A98" s="260" t="str"/>
      <c r="B98" s="260" t="str"/>
      <c r="C98" s="287" t="str"/>
      <c r="D98" s="260" t="str"/>
      <c r="E98" s="260" t="str"/>
      <c r="F98" s="260" t="str"/>
      <c r="G98" s="288" t="str"/>
      <c r="H98" s="288" t="str"/>
      <c r="I98" s="286">
        <f>IFERROR(H98/G98,0)</f>
        <v/>
      </c>
      <c r="J98" s="310" t="str"/>
      <c r="K98" s="288" t="str"/>
      <c r="L98" s="286">
        <f>IFERROR(K98/F98,0)</f>
        <v/>
      </c>
      <c r="M98" s="288" t="str"/>
      <c r="N98" s="288" t="str"/>
      <c r="O98" s="288" t="str"/>
      <c r="P98" s="288" t="str"/>
      <c r="Q98" s="288" t="str"/>
      <c r="R98" s="288" t="str"/>
      <c r="S98" s="286" t="str"/>
      <c r="T98" s="260" t="str"/>
      <c r="U98" s="260" t="str"/>
      <c r="V98" s="260" t="str"/>
      <c r="W98" s="260" t="str"/>
      <c r="X98" s="260" t="str"/>
      <c r="Y98" s="260" t="str"/>
    </row>
    <row r="99" ht="22" customHeight="1" s="48">
      <c r="A99" s="261" t="str"/>
      <c r="B99" s="261" t="str"/>
      <c r="C99" s="285" t="str"/>
      <c r="D99" s="261" t="str"/>
      <c r="E99" s="261" t="str"/>
      <c r="F99" s="261" t="str"/>
      <c r="G99" s="289" t="str"/>
      <c r="H99" s="289" t="str"/>
      <c r="I99" s="284">
        <f>IFERROR(H99/G99,0)</f>
        <v/>
      </c>
      <c r="J99" s="311" t="str"/>
      <c r="K99" s="289" t="str"/>
      <c r="L99" s="284">
        <f>IFERROR(K99/F99,0)</f>
        <v/>
      </c>
      <c r="M99" s="289" t="str"/>
      <c r="N99" s="289" t="str"/>
      <c r="O99" s="289" t="str"/>
      <c r="P99" s="289" t="str"/>
      <c r="Q99" s="289" t="str"/>
      <c r="R99" s="289" t="str"/>
      <c r="S99" s="284" t="str"/>
      <c r="T99" s="261" t="str"/>
      <c r="U99" s="261" t="str"/>
      <c r="V99" s="261" t="str"/>
      <c r="W99" s="261" t="str"/>
      <c r="X99" s="261" t="str"/>
      <c r="Y99" s="261" t="str"/>
    </row>
    <row r="100" ht="22" customHeight="1" s="48">
      <c r="A100" s="260" t="str"/>
      <c r="B100" s="260" t="str"/>
      <c r="C100" s="287" t="str"/>
      <c r="D100" s="260" t="str"/>
      <c r="E100" s="260" t="str"/>
      <c r="F100" s="260" t="str"/>
      <c r="G100" s="288" t="str"/>
      <c r="H100" s="288" t="str"/>
      <c r="I100" s="286">
        <f>IFERROR(H100/G100,0)</f>
        <v/>
      </c>
      <c r="J100" s="310" t="str"/>
      <c r="K100" s="288" t="str"/>
      <c r="L100" s="286">
        <f>IFERROR(K100/F100,0)</f>
        <v/>
      </c>
      <c r="M100" s="288" t="str"/>
      <c r="N100" s="288" t="str"/>
      <c r="O100" s="288" t="str"/>
      <c r="P100" s="288" t="str"/>
      <c r="Q100" s="288" t="str"/>
      <c r="R100" s="288" t="str"/>
      <c r="S100" s="286" t="str"/>
      <c r="T100" s="260" t="str"/>
      <c r="U100" s="260" t="str"/>
      <c r="V100" s="260" t="str"/>
      <c r="W100" s="260" t="str"/>
      <c r="X100" s="260" t="str"/>
      <c r="Y100" s="260" t="str"/>
    </row>
    <row r="101" ht="22" customHeight="1" s="48">
      <c r="A101" s="261" t="str"/>
      <c r="B101" s="261" t="str"/>
      <c r="C101" s="285" t="str"/>
      <c r="D101" s="261" t="str"/>
      <c r="E101" s="261" t="str"/>
      <c r="F101" s="261" t="str"/>
      <c r="G101" s="289" t="str"/>
      <c r="H101" s="289" t="str"/>
      <c r="I101" s="284">
        <f>IFERROR(H101/G101,0)</f>
        <v/>
      </c>
      <c r="J101" s="311" t="str"/>
      <c r="K101" s="289" t="str"/>
      <c r="L101" s="284">
        <f>IFERROR(K101/F101,0)</f>
        <v/>
      </c>
      <c r="M101" s="289" t="str"/>
      <c r="N101" s="289" t="str"/>
      <c r="O101" s="289" t="str"/>
      <c r="P101" s="289" t="str"/>
      <c r="Q101" s="289" t="str"/>
      <c r="R101" s="289" t="str"/>
      <c r="S101" s="284" t="str"/>
      <c r="T101" s="261" t="str"/>
      <c r="U101" s="261" t="str"/>
      <c r="V101" s="261" t="str"/>
      <c r="W101" s="261" t="str"/>
      <c r="X101" s="261" t="str"/>
      <c r="Y101" s="261" t="str"/>
    </row>
    <row r="102" ht="22" customHeight="1" s="48">
      <c r="A102" s="260" t="str"/>
      <c r="B102" s="260" t="str"/>
      <c r="C102" s="287" t="str"/>
      <c r="D102" s="260" t="str"/>
      <c r="E102" s="260" t="str"/>
      <c r="F102" s="260" t="str"/>
      <c r="G102" s="288" t="str"/>
      <c r="H102" s="288" t="str"/>
      <c r="I102" s="286">
        <f>IFERROR(H102/G102,0)</f>
        <v/>
      </c>
      <c r="J102" s="310" t="str"/>
      <c r="K102" s="288" t="str"/>
      <c r="L102" s="286">
        <f>IFERROR(K102/F102,0)</f>
        <v/>
      </c>
      <c r="M102" s="288" t="str"/>
      <c r="N102" s="288" t="str"/>
      <c r="O102" s="288" t="str"/>
      <c r="P102" s="288" t="str"/>
      <c r="Q102" s="288" t="str"/>
      <c r="R102" s="288" t="str"/>
      <c r="S102" s="286" t="str"/>
      <c r="T102" s="260" t="str"/>
      <c r="U102" s="260" t="str"/>
      <c r="V102" s="260" t="str"/>
      <c r="W102" s="260" t="str"/>
      <c r="X102" s="260" t="str"/>
      <c r="Y102" s="260" t="str"/>
    </row>
    <row r="103" ht="22" customHeight="1" s="48">
      <c r="A103" s="261" t="str"/>
      <c r="B103" s="261" t="str"/>
      <c r="C103" s="285" t="str"/>
      <c r="D103" s="261" t="str"/>
      <c r="E103" s="261" t="str"/>
      <c r="F103" s="261" t="str"/>
      <c r="G103" s="289" t="str"/>
      <c r="H103" s="289" t="str"/>
      <c r="I103" s="284">
        <f>IFERROR(H103/G103,0)</f>
        <v/>
      </c>
      <c r="J103" s="311" t="str"/>
      <c r="K103" s="289" t="str"/>
      <c r="L103" s="284">
        <f>IFERROR(K103/F103,0)</f>
        <v/>
      </c>
      <c r="M103" s="289" t="str"/>
      <c r="N103" s="289" t="str"/>
      <c r="O103" s="289" t="str"/>
      <c r="P103" s="289" t="str"/>
      <c r="Q103" s="289" t="str"/>
      <c r="R103" s="289" t="str"/>
      <c r="S103" s="284" t="str"/>
      <c r="T103" s="261" t="str"/>
      <c r="U103" s="261" t="str"/>
      <c r="V103" s="261" t="str"/>
      <c r="W103" s="261" t="str"/>
      <c r="X103" s="261" t="str"/>
      <c r="Y103" s="261" t="str"/>
    </row>
    <row r="104" ht="20" customHeight="1" s="48"/>
    <row r="105" ht="20" customHeight="1" s="48"/>
    <row r="106" ht="20" customHeight="1" s="48"/>
    <row r="107" ht="20" customHeight="1" s="48"/>
    <row r="108" ht="20" customHeight="1" s="48"/>
    <row r="109" ht="20" customHeight="1" s="48"/>
    <row r="110" ht="20" customHeight="1" s="48"/>
    <row r="111" ht="20" customHeight="1" s="48"/>
    <row r="112" ht="20" customHeight="1" s="48"/>
    <row r="113" ht="20" customHeight="1" s="48"/>
    <row r="114" ht="20" customHeight="1" s="48"/>
    <row r="115" ht="20" customHeight="1" s="48"/>
    <row r="116" ht="20" customHeight="1" s="48"/>
    <row r="117" ht="20" customHeight="1" s="48"/>
    <row r="118" ht="20" customHeight="1" s="48"/>
    <row r="119" ht="20" customHeight="1" s="48"/>
    <row r="120" ht="20" customHeight="1" s="48"/>
    <row r="121" ht="20" customHeight="1" s="48"/>
    <row r="122" ht="20" customHeight="1" s="48"/>
    <row r="123" ht="20" customHeight="1" s="48"/>
    <row r="124" ht="20" customHeight="1" s="48"/>
    <row r="125" ht="20" customHeight="1" s="48"/>
    <row r="126" ht="20" customHeight="1" s="48"/>
    <row r="127" ht="20" customHeight="1" s="48"/>
    <row r="128" ht="20" customHeight="1" s="48"/>
    <row r="129" ht="20" customHeight="1" s="48"/>
    <row r="130" ht="20" customHeight="1" s="48"/>
    <row r="131" ht="20" customHeight="1" s="48"/>
    <row r="132" ht="20" customHeight="1" s="48"/>
    <row r="133" ht="20" customHeight="1" s="48"/>
    <row r="134" ht="20" customHeight="1" s="48"/>
    <row r="135" ht="20" customHeight="1" s="48"/>
    <row r="136" ht="20" customHeight="1" s="48"/>
    <row r="137" ht="20" customHeight="1" s="48"/>
    <row r="138" ht="20" customHeight="1" s="48"/>
    <row r="139" ht="20" customHeight="1" s="48"/>
    <row r="140" ht="20" customHeight="1" s="48"/>
    <row r="141" ht="20" customHeight="1" s="48"/>
    <row r="142" ht="20" customHeight="1" s="48"/>
    <row r="143" ht="20" customHeight="1" s="48"/>
    <row r="144" ht="20" customHeight="1" s="48"/>
    <row r="145" ht="20" customHeight="1" s="48"/>
    <row r="146" ht="20" customHeight="1" s="48"/>
    <row r="147" ht="20" customHeight="1" s="48"/>
    <row r="148" ht="20" customHeight="1" s="48"/>
    <row r="149" ht="20" customHeight="1" s="48"/>
    <row r="150" ht="20" customHeight="1" s="48"/>
    <row r="151" ht="20" customHeight="1" s="48"/>
    <row r="152" ht="20" customHeight="1" s="48"/>
    <row r="153" ht="20" customHeight="1" s="48"/>
    <row r="154" ht="20" customHeight="1" s="48"/>
    <row r="155" ht="20" customHeight="1" s="48"/>
    <row r="156" ht="20" customHeight="1" s="48"/>
    <row r="157" ht="20" customHeight="1" s="48"/>
    <row r="158" ht="20" customHeight="1" s="48"/>
    <row r="159" ht="20" customHeight="1" s="48"/>
    <row r="160" ht="20" customHeight="1" s="48"/>
    <row r="161" ht="20" customHeight="1" s="48"/>
    <row r="162" ht="20" customHeight="1" s="48"/>
    <row r="163" ht="20" customHeight="1" s="48"/>
    <row r="164" ht="20" customHeight="1" s="48"/>
    <row r="165" ht="20" customHeight="1" s="48"/>
    <row r="166" ht="20" customHeight="1" s="48"/>
    <row r="167" ht="20" customHeight="1" s="48"/>
    <row r="168" ht="20" customHeight="1" s="48"/>
    <row r="169" ht="20" customHeight="1" s="48"/>
    <row r="170" ht="20" customHeight="1" s="48"/>
    <row r="171" ht="20" customHeight="1" s="48"/>
    <row r="172" ht="20" customHeight="1" s="48"/>
    <row r="173" ht="20" customHeight="1" s="48"/>
    <row r="174" ht="20" customHeight="1" s="48"/>
    <row r="175" ht="20" customHeight="1" s="48"/>
    <row r="176" ht="20" customHeight="1" s="48"/>
    <row r="177" ht="20" customHeight="1" s="48"/>
    <row r="178" ht="20" customHeight="1" s="48"/>
    <row r="179" ht="20" customHeight="1" s="48"/>
    <row r="180" ht="20" customHeight="1" s="48"/>
    <row r="181" ht="20" customHeight="1" s="48"/>
    <row r="182" ht="20" customHeight="1" s="48"/>
    <row r="183" ht="20" customHeight="1" s="48"/>
    <row r="184" ht="20" customHeight="1" s="48"/>
    <row r="185" ht="20" customHeight="1" s="48"/>
    <row r="186" ht="20" customHeight="1" s="48"/>
    <row r="187" ht="20" customHeight="1" s="48"/>
    <row r="188" ht="20" customHeight="1" s="48"/>
    <row r="189" ht="20" customHeight="1" s="48"/>
    <row r="190" ht="20" customHeight="1" s="48"/>
    <row r="191" ht="20" customHeight="1" s="48"/>
    <row r="192" ht="20" customHeight="1" s="48"/>
    <row r="193" ht="20" customHeight="1" s="48"/>
    <row r="194" ht="20" customHeight="1" s="48"/>
    <row r="195" ht="20" customHeight="1" s="48"/>
    <row r="196" ht="20" customHeight="1" s="48"/>
    <row r="197" ht="20" customHeight="1" s="48"/>
    <row r="198" ht="20" customHeight="1" s="48"/>
    <row r="199" ht="20" customHeight="1" s="48"/>
    <row r="200" ht="20" customHeight="1" s="48"/>
    <row r="201" ht="20" customHeight="1" s="48"/>
    <row r="202" ht="20" customHeight="1" s="48"/>
    <row r="203" ht="20" customHeight="1" s="48"/>
    <row r="204" ht="20" customHeight="1" s="48"/>
    <row r="205" ht="20" customHeight="1" s="48"/>
    <row r="206" ht="20" customHeight="1" s="48"/>
    <row r="207" ht="20" customHeight="1" s="48"/>
    <row r="208" ht="20" customHeight="1" s="48"/>
    <row r="209" ht="20" customHeight="1" s="48"/>
    <row r="210" ht="20" customHeight="1" s="48"/>
    <row r="211" ht="20" customHeight="1" s="48"/>
    <row r="212" ht="20" customHeight="1" s="48"/>
    <row r="213" ht="20" customHeight="1" s="48"/>
    <row r="214" ht="20" customHeight="1" s="48"/>
    <row r="215" ht="20" customHeight="1" s="48"/>
    <row r="216" ht="20" customHeight="1" s="48"/>
    <row r="217" ht="20" customHeight="1" s="48"/>
    <row r="218" ht="20" customHeight="1" s="48"/>
    <row r="219" ht="20" customHeight="1" s="48"/>
    <row r="220" ht="20" customHeight="1" s="48"/>
    <row r="221" ht="20" customHeight="1" s="48"/>
    <row r="222" ht="20" customHeight="1" s="48"/>
    <row r="223" ht="20" customHeight="1" s="48"/>
    <row r="224" ht="20" customHeight="1" s="48"/>
    <row r="225" ht="20" customHeight="1" s="48"/>
    <row r="226" ht="20" customHeight="1" s="48"/>
    <row r="227" ht="20" customHeight="1" s="48"/>
    <row r="228" ht="20" customHeight="1" s="48"/>
    <row r="229" ht="20" customHeight="1" s="48"/>
    <row r="230" ht="20" customHeight="1" s="48"/>
    <row r="231" ht="20" customHeight="1" s="48"/>
    <row r="232" ht="20" customHeight="1" s="48"/>
    <row r="233" ht="20" customHeight="1" s="48"/>
    <row r="234" ht="20" customHeight="1" s="48"/>
    <row r="235" ht="20" customHeight="1" s="48"/>
    <row r="236" ht="20" customHeight="1" s="48"/>
    <row r="237" ht="20" customHeight="1" s="48"/>
    <row r="238" ht="20" customHeight="1" s="48"/>
    <row r="239" ht="20" customHeight="1" s="48"/>
    <row r="240" ht="20" customHeight="1" s="48"/>
    <row r="241" ht="20" customHeight="1" s="48"/>
    <row r="242" ht="20" customHeight="1" s="48"/>
    <row r="243" ht="20" customHeight="1" s="48"/>
    <row r="244" ht="20" customHeight="1" s="48"/>
    <row r="245" ht="20" customHeight="1" s="48"/>
    <row r="246" ht="20" customHeight="1" s="48"/>
    <row r="247" ht="20" customHeight="1" s="48"/>
    <row r="248" ht="20" customHeight="1" s="48"/>
    <row r="249" ht="20" customHeight="1" s="48"/>
    <row r="250" ht="20" customHeight="1" s="48"/>
    <row r="251" ht="20" customHeight="1" s="48"/>
    <row r="252" ht="20" customHeight="1" s="48"/>
    <row r="253" ht="20" customHeight="1" s="48"/>
    <row r="254" ht="20" customHeight="1" s="48"/>
    <row r="255" ht="20" customHeight="1" s="48"/>
    <row r="256" ht="20" customHeight="1" s="48"/>
    <row r="257" ht="20" customHeight="1" s="48"/>
    <row r="258" ht="20" customHeight="1" s="48"/>
    <row r="259" ht="20" customHeight="1" s="48"/>
    <row r="260" ht="20" customHeight="1" s="48"/>
    <row r="261" ht="20" customHeight="1" s="48"/>
    <row r="262" ht="20" customHeight="1" s="48"/>
    <row r="263" ht="20" customHeight="1" s="48"/>
    <row r="264" ht="20" customHeight="1" s="48"/>
    <row r="265" ht="20" customHeight="1" s="48"/>
    <row r="266" ht="20" customHeight="1" s="48"/>
    <row r="267" ht="20" customHeight="1" s="48"/>
    <row r="268" ht="20" customHeight="1" s="48"/>
    <row r="269" ht="20" customHeight="1" s="48"/>
    <row r="270" ht="20" customHeight="1" s="48"/>
    <row r="271" ht="20" customHeight="1" s="48"/>
    <row r="272" ht="20" customHeight="1" s="48"/>
    <row r="273" ht="20" customHeight="1" s="48"/>
    <row r="274" ht="20" customHeight="1" s="48"/>
    <row r="275" ht="20" customHeight="1" s="48"/>
    <row r="276" ht="20" customHeight="1" s="48"/>
    <row r="277" ht="20" customHeight="1" s="48"/>
    <row r="278" ht="20" customHeight="1" s="48"/>
    <row r="279" ht="20" customHeight="1" s="48"/>
    <row r="280" ht="20" customHeight="1" s="48"/>
    <row r="281" ht="20" customHeight="1" s="48"/>
    <row r="282" ht="20" customHeight="1" s="48"/>
    <row r="283" ht="20" customHeight="1" s="48"/>
    <row r="284" ht="20" customHeight="1" s="48"/>
    <row r="285" ht="20" customHeight="1" s="48"/>
    <row r="286" ht="20" customHeight="1" s="48"/>
    <row r="287" ht="20" customHeight="1" s="48"/>
    <row r="288" ht="20" customHeight="1" s="48"/>
    <row r="289" ht="20" customHeight="1" s="48"/>
    <row r="290" ht="20" customHeight="1" s="48"/>
    <row r="291" ht="20" customHeight="1" s="48"/>
    <row r="292" ht="20" customHeight="1" s="48"/>
    <row r="293" ht="20" customHeight="1" s="48"/>
    <row r="294" ht="20" customHeight="1" s="48"/>
    <row r="295" ht="20" customHeight="1" s="48"/>
    <row r="296" ht="20" customHeight="1" s="48"/>
    <row r="297" ht="20" customHeight="1" s="48"/>
    <row r="298" ht="20" customHeight="1" s="48"/>
    <row r="299" ht="20" customHeight="1" s="48"/>
    <row r="300" ht="20" customHeight="1" s="48"/>
    <row r="301" ht="20" customHeight="1" s="48"/>
    <row r="302" ht="20" customHeight="1" s="48"/>
    <row r="303" ht="20" customHeight="1" s="48"/>
    <row r="304" ht="20" customHeight="1" s="48"/>
    <row r="305" ht="20" customHeight="1" s="48"/>
    <row r="306" ht="20" customHeight="1" s="48"/>
    <row r="307" ht="20" customHeight="1" s="48"/>
    <row r="308" ht="20" customHeight="1" s="48"/>
    <row r="309" ht="20" customHeight="1" s="48"/>
    <row r="310" ht="20" customHeight="1" s="48"/>
    <row r="311" ht="20" customHeight="1" s="48"/>
    <row r="312" ht="20" customHeight="1" s="48"/>
    <row r="313" ht="20" customHeight="1" s="48"/>
    <row r="314" ht="20" customHeight="1" s="48"/>
    <row r="315" ht="20" customHeight="1" s="48"/>
    <row r="316" ht="20" customHeight="1" s="48"/>
    <row r="317" ht="20" customHeight="1" s="48"/>
    <row r="318" ht="20" customHeight="1" s="48"/>
    <row r="319" ht="20" customHeight="1" s="48"/>
    <row r="320" ht="20" customHeight="1" s="48"/>
    <row r="321" ht="20" customHeight="1" s="48"/>
    <row r="322" ht="20" customHeight="1" s="48"/>
    <row r="323" ht="20" customHeight="1" s="48"/>
    <row r="324" ht="20" customHeight="1" s="48"/>
    <row r="325" ht="20" customHeight="1" s="48"/>
    <row r="326" ht="20" customHeight="1" s="48"/>
    <row r="327" ht="20" customHeight="1" s="48"/>
    <row r="328" ht="20" customHeight="1" s="48"/>
    <row r="329" ht="20" customHeight="1" s="48"/>
    <row r="330" ht="20" customHeight="1" s="48"/>
    <row r="331" ht="20" customHeight="1" s="48"/>
    <row r="332" ht="20" customHeight="1" s="48"/>
    <row r="333" ht="20" customHeight="1" s="48"/>
    <row r="334" ht="20" customHeight="1" s="48"/>
    <row r="335" ht="20" customHeight="1" s="48"/>
    <row r="336" ht="20" customHeight="1" s="48"/>
    <row r="337" ht="20" customHeight="1" s="48"/>
    <row r="338" ht="20" customHeight="1" s="48"/>
    <row r="339" ht="20" customHeight="1" s="48"/>
    <row r="340" ht="20" customHeight="1" s="48"/>
    <row r="341" ht="20" customHeight="1" s="48"/>
    <row r="342" ht="20" customHeight="1" s="48"/>
    <row r="343" ht="20" customHeight="1" s="48"/>
    <row r="344" ht="20" customHeight="1" s="48"/>
    <row r="345" ht="20" customHeight="1" s="48"/>
    <row r="346" ht="20" customHeight="1" s="48"/>
    <row r="347" ht="20" customHeight="1" s="48"/>
    <row r="348" ht="20" customHeight="1" s="48"/>
    <row r="349" ht="20" customHeight="1" s="48"/>
    <row r="350" ht="20" customHeight="1" s="48"/>
    <row r="351" ht="20" customHeight="1" s="48"/>
    <row r="352" ht="20" customHeight="1" s="48"/>
    <row r="353" ht="20" customHeight="1" s="48"/>
    <row r="354" ht="20" customHeight="1" s="48"/>
    <row r="355" ht="20" customHeight="1" s="48"/>
    <row r="356" ht="20" customHeight="1" s="48"/>
    <row r="357" ht="20" customHeight="1" s="48"/>
    <row r="358" ht="20" customHeight="1" s="48"/>
    <row r="359" ht="20" customHeight="1" s="48"/>
    <row r="360" ht="20" customHeight="1" s="48"/>
    <row r="361" ht="20" customHeight="1" s="48"/>
    <row r="362" ht="20" customHeight="1" s="48"/>
    <row r="363" ht="20" customHeight="1" s="48"/>
    <row r="364" ht="20" customHeight="1" s="48"/>
    <row r="365" ht="20" customHeight="1" s="48"/>
    <row r="366" ht="20" customHeight="1" s="48"/>
    <row r="367" ht="20" customHeight="1" s="48"/>
    <row r="368" ht="20" customHeight="1" s="48"/>
    <row r="369" ht="20" customHeight="1" s="48"/>
    <row r="370" ht="20" customHeight="1" s="48"/>
    <row r="371" ht="20" customHeight="1" s="48"/>
    <row r="372" ht="20" customHeight="1" s="48"/>
    <row r="373" ht="20" customHeight="1" s="48"/>
    <row r="374" ht="20" customHeight="1" s="48"/>
    <row r="375" ht="20" customHeight="1" s="48"/>
    <row r="376" ht="20" customHeight="1" s="48"/>
    <row r="377" ht="20" customHeight="1" s="48"/>
    <row r="378" ht="20" customHeight="1" s="48"/>
    <row r="379" ht="20" customHeight="1" s="48"/>
    <row r="380" ht="20" customHeight="1" s="48"/>
    <row r="381" ht="20" customHeight="1" s="48"/>
    <row r="382" ht="20" customHeight="1" s="48"/>
    <row r="383" ht="20" customHeight="1" s="48"/>
    <row r="384" ht="20" customHeight="1" s="48"/>
    <row r="385" ht="20" customHeight="1" s="48"/>
    <row r="386" ht="20" customHeight="1" s="48"/>
    <row r="387" ht="20" customHeight="1" s="48"/>
    <row r="388" ht="20" customHeight="1" s="48"/>
    <row r="389" ht="20" customHeight="1" s="48"/>
    <row r="390" ht="20" customHeight="1" s="48"/>
    <row r="391" ht="20" customHeight="1" s="48"/>
    <row r="392" ht="20" customHeight="1" s="48"/>
    <row r="393" ht="20" customHeight="1" s="48"/>
    <row r="394" ht="20" customHeight="1" s="48"/>
    <row r="395" ht="20" customHeight="1" s="48"/>
    <row r="396" ht="20" customHeight="1" s="48"/>
    <row r="397" ht="20" customHeight="1" s="48"/>
    <row r="398" ht="20" customHeight="1" s="48"/>
    <row r="399" ht="20" customHeight="1" s="48"/>
    <row r="400" ht="20" customHeight="1" s="48"/>
    <row r="401" ht="20" customHeight="1" s="48"/>
    <row r="402" ht="20" customHeight="1" s="48"/>
    <row r="403" ht="20" customHeight="1" s="48"/>
    <row r="404" ht="20" customHeight="1" s="48"/>
    <row r="405" ht="20" customHeight="1" s="48"/>
    <row r="406" ht="20" customHeight="1" s="48"/>
    <row r="407" ht="20" customHeight="1" s="48"/>
    <row r="408" ht="20" customHeight="1" s="48"/>
    <row r="409" ht="20" customHeight="1" s="48"/>
    <row r="410" ht="20" customHeight="1" s="48"/>
    <row r="411" ht="20" customHeight="1" s="48"/>
    <row r="412" ht="20" customHeight="1" s="48"/>
    <row r="413" ht="20" customHeight="1" s="48"/>
    <row r="414" ht="20" customHeight="1" s="48"/>
    <row r="415" ht="20" customHeight="1" s="48"/>
    <row r="416" ht="20" customHeight="1" s="48"/>
    <row r="417" ht="20" customHeight="1" s="48"/>
    <row r="418" ht="20" customHeight="1" s="48"/>
    <row r="419" ht="20" customHeight="1" s="48"/>
    <row r="420" ht="20" customHeight="1" s="48"/>
    <row r="421" ht="20" customHeight="1" s="48"/>
    <row r="422" ht="20" customHeight="1" s="48"/>
    <row r="423" ht="20" customHeight="1" s="48"/>
    <row r="424" ht="20" customHeight="1" s="48"/>
    <row r="425" ht="20" customHeight="1" s="48"/>
    <row r="426" ht="20" customHeight="1" s="48"/>
    <row r="427" ht="20" customHeight="1" s="48"/>
    <row r="428" ht="20" customHeight="1" s="48"/>
    <row r="429" ht="20" customHeight="1" s="48"/>
    <row r="430" ht="20" customHeight="1" s="48"/>
    <row r="431" ht="20" customHeight="1" s="48"/>
    <row r="432" ht="20" customHeight="1" s="48"/>
    <row r="433" ht="20" customHeight="1" s="48"/>
    <row r="434" ht="20" customHeight="1" s="48"/>
    <row r="435" ht="20" customHeight="1" s="48"/>
    <row r="436" ht="20" customHeight="1" s="48"/>
    <row r="437" ht="20" customHeight="1" s="48"/>
    <row r="438" ht="20" customHeight="1" s="48"/>
    <row r="439" ht="20" customHeight="1" s="48"/>
    <row r="440" ht="20" customHeight="1" s="48"/>
    <row r="441" ht="20" customHeight="1" s="48"/>
    <row r="442" ht="20" customHeight="1" s="48"/>
    <row r="443" ht="20" customHeight="1" s="48"/>
    <row r="444" ht="20" customHeight="1" s="48"/>
    <row r="445" ht="20" customHeight="1" s="48"/>
    <row r="446" ht="20" customHeight="1" s="48"/>
    <row r="447" ht="20" customHeight="1" s="48"/>
    <row r="448" ht="20" customHeight="1" s="48"/>
    <row r="449" ht="20" customHeight="1" s="48"/>
    <row r="450" ht="20" customHeight="1" s="48"/>
    <row r="451" ht="20" customHeight="1" s="48"/>
    <row r="452" ht="20" customHeight="1" s="48"/>
    <row r="453" ht="20" customHeight="1" s="48"/>
    <row r="454" ht="20" customHeight="1" s="48"/>
    <row r="455" ht="20" customHeight="1" s="48"/>
    <row r="456" ht="20" customHeight="1" s="48"/>
    <row r="457" ht="20" customHeight="1" s="48"/>
    <row r="458" ht="20" customHeight="1" s="48"/>
    <row r="459" ht="20" customHeight="1" s="48"/>
    <row r="460" ht="20" customHeight="1" s="48"/>
    <row r="461" ht="20" customHeight="1" s="48"/>
    <row r="462" ht="20" customHeight="1" s="48"/>
    <row r="463" ht="20" customHeight="1" s="48"/>
    <row r="464" ht="20" customHeight="1" s="48"/>
    <row r="465" ht="20" customHeight="1" s="48"/>
    <row r="466" ht="20" customHeight="1" s="48"/>
    <row r="467" ht="20" customHeight="1" s="48"/>
    <row r="468" ht="20" customHeight="1" s="48"/>
    <row r="469" ht="20" customHeight="1" s="48"/>
    <row r="470" ht="20" customHeight="1" s="48"/>
    <row r="471" ht="20" customHeight="1" s="48"/>
    <row r="472" ht="20" customHeight="1" s="48"/>
    <row r="473" ht="20" customHeight="1" s="48"/>
    <row r="474" ht="20" customHeight="1" s="48"/>
    <row r="475" ht="20" customHeight="1" s="48"/>
    <row r="476" ht="20" customHeight="1" s="48"/>
    <row r="477" ht="20" customHeight="1" s="48"/>
    <row r="478" ht="20" customHeight="1" s="48"/>
    <row r="479" ht="20" customHeight="1" s="48"/>
    <row r="480" ht="20" customHeight="1" s="48"/>
    <row r="481" ht="20" customHeight="1" s="48"/>
    <row r="482" ht="20" customHeight="1" s="48"/>
    <row r="483" ht="20" customHeight="1" s="48"/>
    <row r="484" ht="20" customHeight="1" s="48"/>
    <row r="485" ht="20" customHeight="1" s="48"/>
    <row r="486" ht="20" customHeight="1" s="48"/>
    <row r="487" ht="20" customHeight="1" s="48"/>
    <row r="488" ht="20" customHeight="1" s="48"/>
    <row r="489" ht="20" customHeight="1" s="48"/>
    <row r="490" ht="20" customHeight="1" s="48"/>
    <row r="491" ht="20" customHeight="1" s="48"/>
    <row r="492" ht="20" customHeight="1" s="48"/>
    <row r="493" ht="20" customHeight="1" s="48"/>
    <row r="494" ht="20" customHeight="1" s="48"/>
    <row r="495" ht="20" customHeight="1" s="48"/>
    <row r="496" ht="20" customHeight="1" s="48"/>
    <row r="497" ht="20" customHeight="1" s="48"/>
    <row r="498" ht="20" customHeight="1" s="48"/>
    <row r="499" ht="20" customHeight="1" s="48"/>
    <row r="500" ht="20" customHeight="1" s="48"/>
  </sheetData>
  <mergeCells count="1">
    <mergeCell ref="A1:Y1"/>
  </mergeCells>
  <conditionalFormatting sqref="I4:I103">
    <cfRule type="colorScale" priority="1">
      <colorScale>
        <cfvo type="min"/>
        <cfvo type="percentile" val="50"/>
        <cfvo type="max"/>
        <color rgb="FFFBE9E9"/>
        <color rgb="FFFFF4D6"/>
        <color rgb="FFE8F5EE"/>
      </colorScale>
    </cfRule>
  </conditionalFormatting>
  <conditionalFormatting sqref="L4:L103">
    <cfRule type="colorScale" priority="2">
      <colorScale>
        <cfvo type="min"/>
        <cfvo type="percentile" val="50"/>
        <cfvo type="max"/>
        <color rgb="FFFBE9E9"/>
        <color rgb="FFFFF4D6"/>
        <color rgb="FFE8F5EE"/>
      </colorScale>
    </cfRule>
  </conditionalFormatting>
  <dataValidations count="1">
    <dataValidation sqref="B4:B103" showDropDown="0" showInputMessage="0" showErrorMessage="0" allowBlank="0" type="list">
      <formula1>"YouTube,Bilibili,Instagram,TikTok,其他"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/>
  </sheetPr>
  <dimension ref="A1:H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48" min="1" max="1"/>
    <col width="10" customWidth="1" style="48" min="2" max="2"/>
    <col width="16" customWidth="1" style="48" min="3" max="3"/>
    <col width="22" customWidth="1" style="48" min="4" max="4"/>
    <col width="12" customWidth="1" style="48" min="5" max="5"/>
    <col width="12" customWidth="1" style="48" min="6" max="6"/>
    <col width="12" customWidth="1" style="48" min="7" max="7"/>
    <col width="12" customWidth="1" style="48" min="8" max="8"/>
  </cols>
  <sheetData>
    <row r="1" ht="28" customHeight="1" s="48">
      <c r="A1" s="255" t="inlineStr">
        <is>
          <t>设置｜Scoring Weights &amp; Conventions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 s="48">
      <c r="A2" s="256" t="n"/>
      <c r="B2" s="256" t="n"/>
      <c r="C2" s="256" t="n"/>
      <c r="D2" s="256" t="n"/>
      <c r="E2" s="256" t="n"/>
      <c r="F2" s="256" t="n"/>
      <c r="G2" s="256" t="n"/>
      <c r="H2" s="256" t="n"/>
    </row>
    <row r="3" ht="24" customHeight="1" s="48">
      <c r="A3" s="259" t="inlineStr">
        <is>
          <t>选题评分维度</t>
        </is>
      </c>
      <c r="B3" s="259" t="inlineStr">
        <is>
          <t>权重</t>
        </is>
      </c>
      <c r="C3" s="259" t="inlineStr">
        <is>
          <t>含义</t>
        </is>
      </c>
      <c r="D3" s="259" t="inlineStr">
        <is>
          <t>建议判断问题</t>
        </is>
      </c>
      <c r="E3" s="256" t="n"/>
      <c r="F3" s="256" t="n"/>
      <c r="G3" s="256" t="n"/>
      <c r="H3" s="256" t="n"/>
    </row>
    <row r="4" ht="22" customHeight="1" s="48">
      <c r="A4" s="260" t="inlineStr">
        <is>
          <t>趋势信号</t>
        </is>
      </c>
      <c r="B4" s="286" t="n">
        <v>0.15</v>
      </c>
      <c r="C4" s="260" t="inlineStr">
        <is>
          <t>近期是否有增长或讨论</t>
        </is>
      </c>
      <c r="D4" s="260" t="inlineStr">
        <is>
          <t>现在为什么值得做？</t>
        </is>
      </c>
      <c r="E4" s="256" t="n"/>
      <c r="F4" s="256" t="n"/>
      <c r="G4" s="256" t="n"/>
      <c r="H4" s="256" t="n"/>
    </row>
    <row r="5" ht="22" customHeight="1" s="48">
      <c r="A5" s="261" t="inlineStr">
        <is>
          <t>受众需求</t>
        </is>
      </c>
      <c r="B5" s="284" t="n">
        <v>0.2</v>
      </c>
      <c r="C5" s="261" t="inlineStr">
        <is>
          <t>是否解决明确好奇或问题</t>
        </is>
      </c>
      <c r="D5" s="261" t="inlineStr">
        <is>
          <t>观众为什么会点开？</t>
        </is>
      </c>
      <c r="E5" s="256" t="n"/>
      <c r="F5" s="256" t="n"/>
      <c r="G5" s="256" t="n"/>
      <c r="H5" s="256" t="n"/>
    </row>
    <row r="6" ht="22" customHeight="1" s="48">
      <c r="A6" s="260" t="inlineStr">
        <is>
          <t>竞争空间</t>
        </is>
      </c>
      <c r="B6" s="286" t="n">
        <v>0.15</v>
      </c>
      <c r="C6" s="260" t="inlineStr">
        <is>
          <t>同类内容是否仍有空位</t>
        </is>
      </c>
      <c r="D6" s="260" t="inlineStr">
        <is>
          <t>是否有未被满足的表达方式？</t>
        </is>
      </c>
      <c r="E6" s="256" t="n"/>
      <c r="F6" s="256" t="n"/>
      <c r="G6" s="256" t="n"/>
      <c r="H6" s="256" t="n"/>
    </row>
    <row r="7" ht="22" customHeight="1" s="48">
      <c r="A7" s="261" t="inlineStr">
        <is>
          <t>差异化</t>
        </is>
      </c>
      <c r="B7" s="284" t="n">
        <v>0.2</v>
      </c>
      <c r="C7" s="261" t="inlineStr">
        <is>
          <t>是否有独特角度或个人优势</t>
        </is>
      </c>
      <c r="D7" s="261" t="inlineStr">
        <is>
          <t>为什么是你来做？</t>
        </is>
      </c>
      <c r="E7" s="256" t="n"/>
      <c r="F7" s="256" t="n"/>
      <c r="G7" s="256" t="n"/>
      <c r="H7" s="256" t="n"/>
    </row>
    <row r="8" ht="22" customHeight="1" s="48">
      <c r="A8" s="260" t="inlineStr">
        <is>
          <t>视觉潜力</t>
        </is>
      </c>
      <c r="B8" s="286" t="n">
        <v>0.15</v>
      </c>
      <c r="C8" s="260" t="inlineStr">
        <is>
          <t>是否容易形成有吸引力的画面</t>
        </is>
      </c>
      <c r="D8" s="260" t="inlineStr">
        <is>
          <t>不靠语言能否看懂一部分？</t>
        </is>
      </c>
      <c r="E8" s="256" t="n"/>
      <c r="F8" s="256" t="n"/>
      <c r="G8" s="256" t="n"/>
      <c r="H8" s="256" t="n"/>
    </row>
    <row r="9" ht="22" customHeight="1" s="48">
      <c r="A9" s="261" t="inlineStr">
        <is>
          <t>常青价值</t>
        </is>
      </c>
      <c r="B9" s="284" t="n">
        <v>0.1</v>
      </c>
      <c r="C9" s="261" t="inlineStr">
        <is>
          <t>是否能持续被搜索和观看</t>
        </is>
      </c>
      <c r="D9" s="261" t="inlineStr">
        <is>
          <t>三个月后还值得看吗？</t>
        </is>
      </c>
      <c r="E9" s="256" t="n"/>
      <c r="F9" s="256" t="n"/>
      <c r="G9" s="256" t="n"/>
      <c r="H9" s="256" t="n"/>
    </row>
    <row r="10" ht="22" customHeight="1" s="48">
      <c r="A10" s="260" t="inlineStr">
        <is>
          <t>商业匹配</t>
        </is>
      </c>
      <c r="B10" s="286" t="n">
        <v>0.05</v>
      </c>
      <c r="C10" s="260" t="inlineStr">
        <is>
          <t>是否符合频道长期价值</t>
        </is>
      </c>
      <c r="D10" s="260" t="inlineStr">
        <is>
          <t>会吸引你真正想要的受众吗？</t>
        </is>
      </c>
      <c r="E10" s="256" t="n"/>
      <c r="F10" s="256" t="n"/>
      <c r="G10" s="256" t="n"/>
      <c r="H10" s="256" t="n"/>
    </row>
    <row r="11" ht="20" customHeight="1" s="48">
      <c r="A11" s="256" t="n"/>
      <c r="B11" s="256" t="n"/>
      <c r="C11" s="256" t="n"/>
      <c r="D11" s="256" t="n"/>
      <c r="E11" s="256" t="n"/>
      <c r="F11" s="256" t="n"/>
      <c r="G11" s="256" t="n"/>
      <c r="H11" s="256" t="n"/>
    </row>
    <row r="12" ht="20" customHeight="1" s="48">
      <c r="A12" s="312" t="inlineStr">
        <is>
          <t>状态</t>
        </is>
      </c>
      <c r="B12" s="313" t="inlineStr">
        <is>
          <t>自动完成度</t>
        </is>
      </c>
      <c r="C12" s="313" t="inlineStr">
        <is>
          <t>用途</t>
        </is>
      </c>
      <c r="D12" s="314" t="inlineStr">
        <is>
          <t>说明</t>
        </is>
      </c>
      <c r="E12" s="256" t="n"/>
      <c r="F12" s="256" t="n"/>
      <c r="G12" s="256" t="n"/>
      <c r="H12" s="256" t="n"/>
    </row>
    <row r="13" ht="20" customHeight="1" s="48">
      <c r="A13" s="261" t="inlineStr">
        <is>
          <t>未开始</t>
        </is>
      </c>
      <c r="B13" s="284" t="n">
        <v>0</v>
      </c>
      <c r="C13" s="261" t="inlineStr">
        <is>
          <t>尚未进入执行</t>
        </is>
      </c>
      <c r="D13" s="261" t="inlineStr">
        <is>
          <t>不应有实际开始日期</t>
        </is>
      </c>
      <c r="E13" s="261" t="n"/>
      <c r="F13" s="261" t="n"/>
      <c r="G13" s="261" t="n"/>
      <c r="H13" s="261" t="n"/>
    </row>
    <row r="14" ht="20" customHeight="1" s="48">
      <c r="A14" s="260" t="inlineStr">
        <is>
          <t>进行中</t>
        </is>
      </c>
      <c r="B14" s="286" t="n">
        <v>0.5</v>
      </c>
      <c r="C14" s="260" t="inlineStr">
        <is>
          <t>正在制作</t>
        </is>
      </c>
      <c r="D14" s="260" t="inlineStr">
        <is>
          <t>可被视为 50% 仅用于粗略汇总</t>
        </is>
      </c>
      <c r="E14" s="260" t="n"/>
      <c r="F14" s="260" t="n"/>
      <c r="G14" s="260" t="n"/>
      <c r="H14" s="260" t="n"/>
    </row>
    <row r="15" ht="20" customHeight="1" s="48">
      <c r="A15" s="261" t="inlineStr">
        <is>
          <t>待审核</t>
        </is>
      </c>
      <c r="B15" s="284" t="n">
        <v>0.8</v>
      </c>
      <c r="C15" s="261" t="inlineStr">
        <is>
          <t>主体已完成，等待人工确认</t>
        </is>
      </c>
      <c r="D15" s="261" t="inlineStr">
        <is>
          <t>审核通过后改为已完成</t>
        </is>
      </c>
      <c r="E15" s="261" t="n"/>
      <c r="F15" s="261" t="n"/>
      <c r="G15" s="261" t="n"/>
      <c r="H15" s="261" t="n"/>
    </row>
    <row r="16" ht="20" customHeight="1" s="48">
      <c r="A16" s="260" t="inlineStr">
        <is>
          <t>已完成</t>
        </is>
      </c>
      <c r="B16" s="286" t="n">
        <v>1</v>
      </c>
      <c r="C16" s="260" t="inlineStr">
        <is>
          <t>达到完成标准</t>
        </is>
      </c>
      <c r="D16" s="260" t="inlineStr">
        <is>
          <t>必须有可检查交付物</t>
        </is>
      </c>
      <c r="E16" s="260" t="n"/>
      <c r="F16" s="260" t="n"/>
      <c r="G16" s="260" t="n"/>
      <c r="H16" s="260" t="n"/>
    </row>
    <row r="17" ht="20" customHeight="1" s="48">
      <c r="A17" s="261" t="inlineStr">
        <is>
          <t>已阻塞</t>
        </is>
      </c>
      <c r="B17" s="284" t="n">
        <v>0.25</v>
      </c>
      <c r="C17" s="261" t="inlineStr">
        <is>
          <t>有明确依赖或问题</t>
        </is>
      </c>
      <c r="D17" s="261" t="inlineStr">
        <is>
          <t>备注写清阻塞原因和下一步</t>
        </is>
      </c>
      <c r="E17" s="261" t="n"/>
      <c r="F17" s="261" t="n"/>
      <c r="G17" s="261" t="n"/>
      <c r="H17" s="261" t="n"/>
    </row>
    <row r="18" ht="20" customHeight="1" s="48">
      <c r="A18" s="260" t="inlineStr">
        <is>
          <t>取消</t>
        </is>
      </c>
      <c r="B18" s="286" t="n">
        <v>0</v>
      </c>
      <c r="C18" s="260" t="inlineStr">
        <is>
          <t>不再执行</t>
        </is>
      </c>
      <c r="D18" s="260" t="inlineStr">
        <is>
          <t>保留记录而不是删除</t>
        </is>
      </c>
      <c r="E18" s="260" t="n"/>
      <c r="F18" s="260" t="n"/>
      <c r="G18" s="260" t="n"/>
      <c r="H18" s="260" t="n"/>
    </row>
    <row r="19" ht="20" customHeight="1" s="48"/>
    <row r="20" ht="20" customHeight="1" s="48"/>
    <row r="21" ht="20" customHeight="1" s="48"/>
    <row r="22" ht="20" customHeight="1" s="48"/>
    <row r="23" ht="20" customHeight="1" s="48"/>
    <row r="24" ht="20" customHeight="1" s="48"/>
    <row r="25" ht="20" customHeight="1" s="48"/>
    <row r="26" ht="20" customHeight="1" s="48"/>
    <row r="27" ht="20" customHeight="1" s="48"/>
    <row r="28" ht="20" customHeight="1" s="48"/>
    <row r="29" ht="20" customHeight="1" s="48"/>
    <row r="30" ht="20" customHeight="1" s="48"/>
    <row r="31" ht="20" customHeight="1" s="48"/>
    <row r="32" ht="20" customHeight="1" s="48"/>
    <row r="33" ht="20" customHeight="1" s="48"/>
    <row r="34" ht="20" customHeight="1" s="48"/>
    <row r="35" ht="20" customHeight="1" s="48"/>
    <row r="36" ht="20" customHeight="1" s="48"/>
    <row r="37" ht="20" customHeight="1" s="48"/>
    <row r="38" ht="20" customHeight="1" s="48"/>
    <row r="39" ht="20" customHeight="1" s="48"/>
    <row r="40" ht="20" customHeight="1" s="48"/>
    <row r="41" ht="20" customHeight="1" s="48"/>
    <row r="42" ht="20" customHeight="1" s="48"/>
    <row r="43" ht="20" customHeight="1" s="48"/>
    <row r="44" ht="20" customHeight="1" s="48"/>
    <row r="45" ht="20" customHeight="1" s="48"/>
    <row r="46" ht="20" customHeight="1" s="48"/>
    <row r="47" ht="20" customHeight="1" s="48"/>
    <row r="48" ht="20" customHeight="1" s="48"/>
    <row r="49" ht="20" customHeight="1" s="48"/>
    <row r="50" ht="20" customHeight="1" s="48"/>
    <row r="51" ht="20" customHeight="1" s="48"/>
    <row r="52" ht="20" customHeight="1" s="48"/>
    <row r="53" ht="20" customHeight="1" s="48"/>
    <row r="54" ht="20" customHeight="1" s="48"/>
    <row r="55" ht="20" customHeight="1" s="48"/>
    <row r="56" ht="20" customHeight="1" s="48"/>
    <row r="57" ht="20" customHeight="1" s="48"/>
    <row r="58" ht="20" customHeight="1" s="48"/>
    <row r="59" ht="20" customHeight="1" s="48"/>
    <row r="60" ht="20" customHeight="1" s="48"/>
    <row r="61" ht="20" customHeight="1" s="48"/>
    <row r="62" ht="20" customHeight="1" s="48"/>
    <row r="63" ht="20" customHeight="1" s="48"/>
    <row r="64" ht="20" customHeight="1" s="48"/>
    <row r="65" ht="20" customHeight="1" s="48"/>
    <row r="66" ht="20" customHeight="1" s="48"/>
    <row r="67" ht="20" customHeight="1" s="48"/>
    <row r="68" ht="20" customHeight="1" s="48"/>
    <row r="69" ht="20" customHeight="1" s="48"/>
    <row r="70" ht="20" customHeight="1" s="48"/>
    <row r="71" ht="20" customHeight="1" s="48"/>
    <row r="72" ht="20" customHeight="1" s="48"/>
    <row r="73" ht="20" customHeight="1" s="48"/>
    <row r="74" ht="20" customHeight="1" s="48"/>
    <row r="75" ht="20" customHeight="1" s="48"/>
    <row r="76" ht="20" customHeight="1" s="48"/>
    <row r="77" ht="20" customHeight="1" s="48"/>
    <row r="78" ht="20" customHeight="1" s="48"/>
    <row r="79" ht="20" customHeight="1" s="48"/>
    <row r="80" ht="20" customHeight="1" s="48"/>
    <row r="81" ht="20" customHeight="1" s="48"/>
    <row r="82" ht="20" customHeight="1" s="48"/>
    <row r="83" ht="20" customHeight="1" s="48"/>
    <row r="84" ht="20" customHeight="1" s="48"/>
    <row r="85" ht="20" customHeight="1" s="48"/>
    <row r="86" ht="20" customHeight="1" s="48"/>
    <row r="87" ht="20" customHeight="1" s="48"/>
    <row r="88" ht="20" customHeight="1" s="48"/>
    <row r="89" ht="20" customHeight="1" s="48"/>
    <row r="90" ht="20" customHeight="1" s="48"/>
    <row r="91" ht="20" customHeight="1" s="48"/>
    <row r="92" ht="20" customHeight="1" s="48"/>
    <row r="93" ht="20" customHeight="1" s="48"/>
    <row r="94" ht="20" customHeight="1" s="48"/>
    <row r="95" ht="20" customHeight="1" s="48"/>
    <row r="96" ht="20" customHeight="1" s="48"/>
    <row r="97" ht="20" customHeight="1" s="48"/>
    <row r="98" ht="20" customHeight="1" s="48"/>
    <row r="99" ht="20" customHeight="1" s="48"/>
    <row r="100" ht="20" customHeight="1" s="48"/>
    <row r="101" ht="20" customHeight="1" s="48"/>
    <row r="102" ht="20" customHeight="1" s="48"/>
    <row r="103" ht="20" customHeight="1" s="48"/>
    <row r="104" ht="20" customHeight="1" s="48"/>
    <row r="105" ht="20" customHeight="1" s="48"/>
    <row r="106" ht="20" customHeight="1" s="48"/>
    <row r="107" ht="20" customHeight="1" s="48"/>
    <row r="108" ht="20" customHeight="1" s="48"/>
    <row r="109" ht="20" customHeight="1" s="48"/>
    <row r="110" ht="20" customHeight="1" s="48"/>
    <row r="111" ht="20" customHeight="1" s="48"/>
    <row r="112" ht="20" customHeight="1" s="48"/>
    <row r="113" ht="20" customHeight="1" s="48"/>
    <row r="114" ht="20" customHeight="1" s="48"/>
    <row r="115" ht="20" customHeight="1" s="48"/>
    <row r="116" ht="20" customHeight="1" s="48"/>
    <row r="117" ht="20" customHeight="1" s="48"/>
    <row r="118" ht="20" customHeight="1" s="48"/>
    <row r="119" ht="20" customHeight="1" s="48"/>
    <row r="120" ht="20" customHeight="1" s="48"/>
    <row r="121" ht="20" customHeight="1" s="48"/>
    <row r="122" ht="20" customHeight="1" s="48"/>
    <row r="123" ht="20" customHeight="1" s="48"/>
    <row r="124" ht="20" customHeight="1" s="48"/>
    <row r="125" ht="20" customHeight="1" s="48"/>
    <row r="126" ht="20" customHeight="1" s="48"/>
    <row r="127" ht="20" customHeight="1" s="48"/>
    <row r="128" ht="20" customHeight="1" s="48"/>
    <row r="129" ht="20" customHeight="1" s="48"/>
    <row r="130" ht="20" customHeight="1" s="48"/>
    <row r="131" ht="20" customHeight="1" s="48"/>
    <row r="132" ht="20" customHeight="1" s="48"/>
    <row r="133" ht="20" customHeight="1" s="48"/>
    <row r="134" ht="20" customHeight="1" s="48"/>
    <row r="135" ht="20" customHeight="1" s="48"/>
    <row r="136" ht="20" customHeight="1" s="48"/>
    <row r="137" ht="20" customHeight="1" s="48"/>
    <row r="138" ht="20" customHeight="1" s="48"/>
    <row r="139" ht="20" customHeight="1" s="48"/>
    <row r="140" ht="20" customHeight="1" s="48"/>
    <row r="141" ht="20" customHeight="1" s="48"/>
    <row r="142" ht="20" customHeight="1" s="48"/>
    <row r="143" ht="20" customHeight="1" s="48"/>
    <row r="144" ht="20" customHeight="1" s="48"/>
    <row r="145" ht="20" customHeight="1" s="48"/>
    <row r="146" ht="20" customHeight="1" s="48"/>
    <row r="147" ht="20" customHeight="1" s="48"/>
    <row r="148" ht="20" customHeight="1" s="48"/>
    <row r="149" ht="20" customHeight="1" s="48"/>
    <row r="150" ht="20" customHeight="1" s="48"/>
    <row r="151" ht="20" customHeight="1" s="48"/>
    <row r="152" ht="20" customHeight="1" s="48"/>
    <row r="153" ht="20" customHeight="1" s="48"/>
    <row r="154" ht="20" customHeight="1" s="48"/>
    <row r="155" ht="20" customHeight="1" s="48"/>
    <row r="156" ht="20" customHeight="1" s="48"/>
    <row r="157" ht="20" customHeight="1" s="48"/>
    <row r="158" ht="20" customHeight="1" s="48"/>
    <row r="159" ht="20" customHeight="1" s="48"/>
    <row r="160" ht="20" customHeight="1" s="48"/>
    <row r="161" ht="20" customHeight="1" s="48"/>
    <row r="162" ht="20" customHeight="1" s="48"/>
    <row r="163" ht="20" customHeight="1" s="48"/>
    <row r="164" ht="20" customHeight="1" s="48"/>
    <row r="165" ht="20" customHeight="1" s="48"/>
    <row r="166" ht="20" customHeight="1" s="48"/>
    <row r="167" ht="20" customHeight="1" s="48"/>
    <row r="168" ht="20" customHeight="1" s="48"/>
    <row r="169" ht="20" customHeight="1" s="48"/>
    <row r="170" ht="20" customHeight="1" s="48"/>
    <row r="171" ht="20" customHeight="1" s="48"/>
    <row r="172" ht="20" customHeight="1" s="48"/>
    <row r="173" ht="20" customHeight="1" s="48"/>
    <row r="174" ht="20" customHeight="1" s="48"/>
    <row r="175" ht="20" customHeight="1" s="48"/>
    <row r="176" ht="20" customHeight="1" s="48"/>
    <row r="177" ht="20" customHeight="1" s="48"/>
    <row r="178" ht="20" customHeight="1" s="48"/>
    <row r="179" ht="20" customHeight="1" s="48"/>
    <row r="180" ht="20" customHeight="1" s="48"/>
    <row r="181" ht="20" customHeight="1" s="48"/>
    <row r="182" ht="20" customHeight="1" s="48"/>
    <row r="183" ht="20" customHeight="1" s="48"/>
    <row r="184" ht="20" customHeight="1" s="48"/>
    <row r="185" ht="20" customHeight="1" s="48"/>
    <row r="186" ht="20" customHeight="1" s="48"/>
    <row r="187" ht="20" customHeight="1" s="48"/>
    <row r="188" ht="20" customHeight="1" s="48"/>
    <row r="189" ht="20" customHeight="1" s="48"/>
    <row r="190" ht="20" customHeight="1" s="48"/>
    <row r="191" ht="20" customHeight="1" s="48"/>
    <row r="192" ht="20" customHeight="1" s="48"/>
    <row r="193" ht="20" customHeight="1" s="48"/>
    <row r="194" ht="20" customHeight="1" s="48"/>
    <row r="195" ht="20" customHeight="1" s="48"/>
    <row r="196" ht="20" customHeight="1" s="48"/>
    <row r="197" ht="20" customHeight="1" s="48"/>
    <row r="198" ht="20" customHeight="1" s="48"/>
    <row r="199" ht="20" customHeight="1" s="48"/>
    <row r="200" ht="20" customHeight="1" s="48"/>
    <row r="201" ht="20" customHeight="1" s="48"/>
    <row r="202" ht="20" customHeight="1" s="48"/>
    <row r="203" ht="20" customHeight="1" s="48"/>
    <row r="204" ht="20" customHeight="1" s="48"/>
    <row r="205" ht="20" customHeight="1" s="48"/>
    <row r="206" ht="20" customHeight="1" s="48"/>
    <row r="207" ht="20" customHeight="1" s="48"/>
    <row r="208" ht="20" customHeight="1" s="48"/>
    <row r="209" ht="20" customHeight="1" s="48"/>
    <row r="210" ht="20" customHeight="1" s="48"/>
    <row r="211" ht="20" customHeight="1" s="48"/>
    <row r="212" ht="20" customHeight="1" s="48"/>
    <row r="213" ht="20" customHeight="1" s="48"/>
    <row r="214" ht="20" customHeight="1" s="48"/>
    <row r="215" ht="20" customHeight="1" s="48"/>
    <row r="216" ht="20" customHeight="1" s="48"/>
    <row r="217" ht="20" customHeight="1" s="48"/>
    <row r="218" ht="20" customHeight="1" s="48"/>
    <row r="219" ht="20" customHeight="1" s="48"/>
    <row r="220" ht="20" customHeight="1" s="48"/>
    <row r="221" ht="20" customHeight="1" s="48"/>
    <row r="222" ht="20" customHeight="1" s="48"/>
    <row r="223" ht="20" customHeight="1" s="48"/>
    <row r="224" ht="20" customHeight="1" s="48"/>
    <row r="225" ht="20" customHeight="1" s="48"/>
    <row r="226" ht="20" customHeight="1" s="48"/>
    <row r="227" ht="20" customHeight="1" s="48"/>
    <row r="228" ht="20" customHeight="1" s="48"/>
    <row r="229" ht="20" customHeight="1" s="48"/>
    <row r="230" ht="20" customHeight="1" s="48"/>
    <row r="231" ht="20" customHeight="1" s="48"/>
    <row r="232" ht="20" customHeight="1" s="48"/>
    <row r="233" ht="20" customHeight="1" s="48"/>
    <row r="234" ht="20" customHeight="1" s="48"/>
    <row r="235" ht="20" customHeight="1" s="48"/>
    <row r="236" ht="20" customHeight="1" s="48"/>
    <row r="237" ht="20" customHeight="1" s="48"/>
    <row r="238" ht="20" customHeight="1" s="48"/>
    <row r="239" ht="20" customHeight="1" s="48"/>
    <row r="240" ht="20" customHeight="1" s="48"/>
    <row r="241" ht="20" customHeight="1" s="48"/>
    <row r="242" ht="20" customHeight="1" s="48"/>
    <row r="243" ht="20" customHeight="1" s="48"/>
    <row r="244" ht="20" customHeight="1" s="48"/>
    <row r="245" ht="20" customHeight="1" s="48"/>
    <row r="246" ht="20" customHeight="1" s="48"/>
    <row r="247" ht="20" customHeight="1" s="48"/>
    <row r="248" ht="20" customHeight="1" s="48"/>
    <row r="249" ht="20" customHeight="1" s="48"/>
    <row r="250" ht="20" customHeight="1" s="48"/>
    <row r="251" ht="20" customHeight="1" s="48"/>
    <row r="252" ht="20" customHeight="1" s="48"/>
    <row r="253" ht="20" customHeight="1" s="48"/>
    <row r="254" ht="20" customHeight="1" s="48"/>
    <row r="255" ht="20" customHeight="1" s="48"/>
    <row r="256" ht="20" customHeight="1" s="48"/>
    <row r="257" ht="20" customHeight="1" s="48"/>
    <row r="258" ht="20" customHeight="1" s="48"/>
    <row r="259" ht="20" customHeight="1" s="48"/>
    <row r="260" ht="20" customHeight="1" s="48"/>
    <row r="261" ht="20" customHeight="1" s="48"/>
    <row r="262" ht="20" customHeight="1" s="48"/>
    <row r="263" ht="20" customHeight="1" s="48"/>
    <row r="264" ht="20" customHeight="1" s="48"/>
    <row r="265" ht="20" customHeight="1" s="48"/>
    <row r="266" ht="20" customHeight="1" s="48"/>
    <row r="267" ht="20" customHeight="1" s="48"/>
    <row r="268" ht="20" customHeight="1" s="48"/>
    <row r="269" ht="20" customHeight="1" s="48"/>
    <row r="270" ht="20" customHeight="1" s="48"/>
    <row r="271" ht="20" customHeight="1" s="48"/>
    <row r="272" ht="20" customHeight="1" s="48"/>
    <row r="273" ht="20" customHeight="1" s="48"/>
    <row r="274" ht="20" customHeight="1" s="48"/>
    <row r="275" ht="20" customHeight="1" s="48"/>
    <row r="276" ht="20" customHeight="1" s="48"/>
    <row r="277" ht="20" customHeight="1" s="48"/>
    <row r="278" ht="20" customHeight="1" s="48"/>
    <row r="279" ht="20" customHeight="1" s="48"/>
    <row r="280" ht="20" customHeight="1" s="48"/>
    <row r="281" ht="20" customHeight="1" s="48"/>
    <row r="282" ht="20" customHeight="1" s="48"/>
    <row r="283" ht="20" customHeight="1" s="48"/>
    <row r="284" ht="20" customHeight="1" s="48"/>
    <row r="285" ht="20" customHeight="1" s="48"/>
    <row r="286" ht="20" customHeight="1" s="48"/>
    <row r="287" ht="20" customHeight="1" s="48"/>
    <row r="288" ht="20" customHeight="1" s="48"/>
    <row r="289" ht="20" customHeight="1" s="48"/>
    <row r="290" ht="20" customHeight="1" s="48"/>
    <row r="291" ht="20" customHeight="1" s="48"/>
    <row r="292" ht="20" customHeight="1" s="48"/>
    <row r="293" ht="20" customHeight="1" s="48"/>
    <row r="294" ht="20" customHeight="1" s="48"/>
    <row r="295" ht="20" customHeight="1" s="48"/>
    <row r="296" ht="20" customHeight="1" s="48"/>
    <row r="297" ht="20" customHeight="1" s="48"/>
    <row r="298" ht="20" customHeight="1" s="48"/>
    <row r="299" ht="20" customHeight="1" s="48"/>
    <row r="300" ht="20" customHeight="1" s="48"/>
    <row r="301" ht="20" customHeight="1" s="48"/>
    <row r="302" ht="20" customHeight="1" s="48"/>
    <row r="303" ht="20" customHeight="1" s="48"/>
    <row r="304" ht="20" customHeight="1" s="48"/>
    <row r="305" ht="20" customHeight="1" s="48"/>
    <row r="306" ht="20" customHeight="1" s="48"/>
    <row r="307" ht="20" customHeight="1" s="48"/>
    <row r="308" ht="20" customHeight="1" s="48"/>
    <row r="309" ht="20" customHeight="1" s="48"/>
    <row r="310" ht="20" customHeight="1" s="48"/>
    <row r="311" ht="20" customHeight="1" s="48"/>
    <row r="312" ht="20" customHeight="1" s="48"/>
    <row r="313" ht="20" customHeight="1" s="48"/>
    <row r="314" ht="20" customHeight="1" s="48"/>
    <row r="315" ht="20" customHeight="1" s="48"/>
    <row r="316" ht="20" customHeight="1" s="48"/>
    <row r="317" ht="20" customHeight="1" s="48"/>
    <row r="318" ht="20" customHeight="1" s="48"/>
    <row r="319" ht="20" customHeight="1" s="48"/>
    <row r="320" ht="20" customHeight="1" s="48"/>
    <row r="321" ht="20" customHeight="1" s="48"/>
    <row r="322" ht="20" customHeight="1" s="48"/>
    <row r="323" ht="20" customHeight="1" s="48"/>
    <row r="324" ht="20" customHeight="1" s="48"/>
    <row r="325" ht="20" customHeight="1" s="48"/>
    <row r="326" ht="20" customHeight="1" s="48"/>
    <row r="327" ht="20" customHeight="1" s="48"/>
    <row r="328" ht="20" customHeight="1" s="48"/>
    <row r="329" ht="20" customHeight="1" s="48"/>
    <row r="330" ht="20" customHeight="1" s="48"/>
    <row r="331" ht="20" customHeight="1" s="48"/>
    <row r="332" ht="20" customHeight="1" s="48"/>
    <row r="333" ht="20" customHeight="1" s="48"/>
    <row r="334" ht="20" customHeight="1" s="48"/>
    <row r="335" ht="20" customHeight="1" s="48"/>
    <row r="336" ht="20" customHeight="1" s="48"/>
    <row r="337" ht="20" customHeight="1" s="48"/>
    <row r="338" ht="20" customHeight="1" s="48"/>
    <row r="339" ht="20" customHeight="1" s="48"/>
    <row r="340" ht="20" customHeight="1" s="48"/>
    <row r="341" ht="20" customHeight="1" s="48"/>
    <row r="342" ht="20" customHeight="1" s="48"/>
    <row r="343" ht="20" customHeight="1" s="48"/>
    <row r="344" ht="20" customHeight="1" s="48"/>
    <row r="345" ht="20" customHeight="1" s="48"/>
    <row r="346" ht="20" customHeight="1" s="48"/>
    <row r="347" ht="20" customHeight="1" s="48"/>
    <row r="348" ht="20" customHeight="1" s="48"/>
    <row r="349" ht="20" customHeight="1" s="48"/>
    <row r="350" ht="20" customHeight="1" s="48"/>
    <row r="351" ht="20" customHeight="1" s="48"/>
    <row r="352" ht="20" customHeight="1" s="48"/>
    <row r="353" ht="20" customHeight="1" s="48"/>
    <row r="354" ht="20" customHeight="1" s="48"/>
    <row r="355" ht="20" customHeight="1" s="48"/>
    <row r="356" ht="20" customHeight="1" s="48"/>
    <row r="357" ht="20" customHeight="1" s="48"/>
    <row r="358" ht="20" customHeight="1" s="48"/>
    <row r="359" ht="20" customHeight="1" s="48"/>
    <row r="360" ht="20" customHeight="1" s="48"/>
    <row r="361" ht="20" customHeight="1" s="48"/>
    <row r="362" ht="20" customHeight="1" s="48"/>
    <row r="363" ht="20" customHeight="1" s="48"/>
    <row r="364" ht="20" customHeight="1" s="48"/>
    <row r="365" ht="20" customHeight="1" s="48"/>
    <row r="366" ht="20" customHeight="1" s="48"/>
    <row r="367" ht="20" customHeight="1" s="48"/>
    <row r="368" ht="20" customHeight="1" s="48"/>
    <row r="369" ht="20" customHeight="1" s="48"/>
    <row r="370" ht="20" customHeight="1" s="48"/>
    <row r="371" ht="20" customHeight="1" s="48"/>
    <row r="372" ht="20" customHeight="1" s="48"/>
    <row r="373" ht="20" customHeight="1" s="48"/>
    <row r="374" ht="20" customHeight="1" s="48"/>
    <row r="375" ht="20" customHeight="1" s="48"/>
    <row r="376" ht="20" customHeight="1" s="48"/>
    <row r="377" ht="20" customHeight="1" s="48"/>
    <row r="378" ht="20" customHeight="1" s="48"/>
    <row r="379" ht="20" customHeight="1" s="48"/>
    <row r="380" ht="20" customHeight="1" s="48"/>
    <row r="381" ht="20" customHeight="1" s="48"/>
    <row r="382" ht="20" customHeight="1" s="48"/>
    <row r="383" ht="20" customHeight="1" s="48"/>
    <row r="384" ht="20" customHeight="1" s="48"/>
    <row r="385" ht="20" customHeight="1" s="48"/>
    <row r="386" ht="20" customHeight="1" s="48"/>
    <row r="387" ht="20" customHeight="1" s="48"/>
    <row r="388" ht="20" customHeight="1" s="48"/>
    <row r="389" ht="20" customHeight="1" s="48"/>
    <row r="390" ht="20" customHeight="1" s="48"/>
    <row r="391" ht="20" customHeight="1" s="48"/>
    <row r="392" ht="20" customHeight="1" s="48"/>
    <row r="393" ht="20" customHeight="1" s="48"/>
    <row r="394" ht="20" customHeight="1" s="48"/>
    <row r="395" ht="20" customHeight="1" s="48"/>
    <row r="396" ht="20" customHeight="1" s="48"/>
    <row r="397" ht="20" customHeight="1" s="48"/>
    <row r="398" ht="20" customHeight="1" s="48"/>
    <row r="399" ht="20" customHeight="1" s="48"/>
    <row r="400" ht="20" customHeight="1" s="48"/>
    <row r="401" ht="20" customHeight="1" s="48"/>
    <row r="402" ht="20" customHeight="1" s="48"/>
    <row r="403" ht="20" customHeight="1" s="48"/>
    <row r="404" ht="20" customHeight="1" s="48"/>
    <row r="405" ht="20" customHeight="1" s="48"/>
    <row r="406" ht="20" customHeight="1" s="48"/>
    <row r="407" ht="20" customHeight="1" s="48"/>
    <row r="408" ht="20" customHeight="1" s="48"/>
    <row r="409" ht="20" customHeight="1" s="48"/>
    <row r="410" ht="20" customHeight="1" s="48"/>
    <row r="411" ht="20" customHeight="1" s="48"/>
    <row r="412" ht="20" customHeight="1" s="48"/>
    <row r="413" ht="20" customHeight="1" s="48"/>
    <row r="414" ht="20" customHeight="1" s="48"/>
    <row r="415" ht="20" customHeight="1" s="48"/>
    <row r="416" ht="20" customHeight="1" s="48"/>
    <row r="417" ht="20" customHeight="1" s="48"/>
    <row r="418" ht="20" customHeight="1" s="48"/>
    <row r="419" ht="20" customHeight="1" s="48"/>
    <row r="420" ht="20" customHeight="1" s="48"/>
    <row r="421" ht="20" customHeight="1" s="48"/>
    <row r="422" ht="20" customHeight="1" s="48"/>
    <row r="423" ht="20" customHeight="1" s="48"/>
    <row r="424" ht="20" customHeight="1" s="48"/>
    <row r="425" ht="20" customHeight="1" s="48"/>
    <row r="426" ht="20" customHeight="1" s="48"/>
    <row r="427" ht="20" customHeight="1" s="48"/>
    <row r="428" ht="20" customHeight="1" s="48"/>
    <row r="429" ht="20" customHeight="1" s="48"/>
    <row r="430" ht="20" customHeight="1" s="48"/>
    <row r="431" ht="20" customHeight="1" s="48"/>
    <row r="432" ht="20" customHeight="1" s="48"/>
    <row r="433" ht="20" customHeight="1" s="48"/>
    <row r="434" ht="20" customHeight="1" s="48"/>
    <row r="435" ht="20" customHeight="1" s="48"/>
    <row r="436" ht="20" customHeight="1" s="48"/>
    <row r="437" ht="20" customHeight="1" s="48"/>
    <row r="438" ht="20" customHeight="1" s="48"/>
    <row r="439" ht="20" customHeight="1" s="48"/>
    <row r="440" ht="20" customHeight="1" s="48"/>
    <row r="441" ht="20" customHeight="1" s="48"/>
    <row r="442" ht="20" customHeight="1" s="48"/>
    <row r="443" ht="20" customHeight="1" s="48"/>
    <row r="444" ht="20" customHeight="1" s="48"/>
    <row r="445" ht="20" customHeight="1" s="48"/>
    <row r="446" ht="20" customHeight="1" s="48"/>
    <row r="447" ht="20" customHeight="1" s="48"/>
    <row r="448" ht="20" customHeight="1" s="48"/>
    <row r="449" ht="20" customHeight="1" s="48"/>
    <row r="450" ht="20" customHeight="1" s="48"/>
    <row r="451" ht="20" customHeight="1" s="48"/>
    <row r="452" ht="20" customHeight="1" s="48"/>
    <row r="453" ht="20" customHeight="1" s="48"/>
    <row r="454" ht="20" customHeight="1" s="48"/>
    <row r="455" ht="20" customHeight="1" s="48"/>
    <row r="456" ht="20" customHeight="1" s="48"/>
    <row r="457" ht="20" customHeight="1" s="48"/>
    <row r="458" ht="20" customHeight="1" s="48"/>
    <row r="459" ht="20" customHeight="1" s="48"/>
    <row r="460" ht="20" customHeight="1" s="48"/>
    <row r="461" ht="20" customHeight="1" s="48"/>
    <row r="462" ht="20" customHeight="1" s="48"/>
    <row r="463" ht="20" customHeight="1" s="48"/>
    <row r="464" ht="20" customHeight="1" s="48"/>
    <row r="465" ht="20" customHeight="1" s="48"/>
    <row r="466" ht="20" customHeight="1" s="48"/>
    <row r="467" ht="20" customHeight="1" s="48"/>
    <row r="468" ht="20" customHeight="1" s="48"/>
    <row r="469" ht="20" customHeight="1" s="48"/>
    <row r="470" ht="20" customHeight="1" s="48"/>
    <row r="471" ht="20" customHeight="1" s="48"/>
    <row r="472" ht="20" customHeight="1" s="48"/>
    <row r="473" ht="20" customHeight="1" s="48"/>
    <row r="474" ht="20" customHeight="1" s="48"/>
    <row r="475" ht="20" customHeight="1" s="48"/>
    <row r="476" ht="20" customHeight="1" s="48"/>
    <row r="477" ht="20" customHeight="1" s="48"/>
    <row r="478" ht="20" customHeight="1" s="48"/>
    <row r="479" ht="20" customHeight="1" s="48"/>
    <row r="480" ht="20" customHeight="1" s="48"/>
    <row r="481" ht="20" customHeight="1" s="48"/>
    <row r="482" ht="20" customHeight="1" s="48"/>
    <row r="483" ht="20" customHeight="1" s="48"/>
    <row r="484" ht="20" customHeight="1" s="48"/>
    <row r="485" ht="20" customHeight="1" s="48"/>
    <row r="486" ht="20" customHeight="1" s="48"/>
    <row r="487" ht="20" customHeight="1" s="48"/>
    <row r="488" ht="20" customHeight="1" s="48"/>
    <row r="489" ht="20" customHeight="1" s="48"/>
    <row r="490" ht="20" customHeight="1" s="48"/>
    <row r="491" ht="20" customHeight="1" s="48"/>
    <row r="492" ht="20" customHeight="1" s="48"/>
    <row r="493" ht="20" customHeight="1" s="48"/>
    <row r="494" ht="20" customHeight="1" s="48"/>
    <row r="495" ht="20" customHeight="1" s="48"/>
    <row r="496" ht="20" customHeight="1" s="48"/>
    <row r="497" ht="20" customHeight="1" s="48"/>
    <row r="498" ht="20" customHeight="1" s="48"/>
    <row r="499" ht="20" customHeight="1" s="48"/>
    <row r="500" ht="20" customHeight="1" s="48"/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2026-07-30T07:31:48Z</dcterms:created>
  <dcterms:modified xmlns:dcterms="http://purl.org/dc/terms/" xmlns:xsi="http://www.w3.org/2001/XMLSchema-instance" xsi:type="dcterms:W3CDTF">2026-07-30T07:31:49Z</dcterms:modified>
</cp:coreProperties>
</file>